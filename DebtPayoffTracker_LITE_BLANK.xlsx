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Dashboard" sheetId="1" state="visible" r:id="rId1"/>
    <sheet name="Debts" sheetId="2" state="visible" r:id="rId2"/>
    <sheet name="Snowball" sheetId="3" state="visible" r:id="rId3"/>
    <sheet name="Avalanche" sheetId="4" state="visible" r:id="rId4"/>
    <sheet name="Instructions" sheetId="5" state="visible" r:id="rId5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5">
    <numFmt numFmtId="164" formatCode="\$#,##0"/>
    <numFmt numFmtId="165" formatCode="mmmm\ yyyy"/>
    <numFmt numFmtId="166" formatCode="0.0%"/>
    <numFmt numFmtId="167" formatCode="mmm\ yyyy"/>
    <numFmt numFmtId="168" formatCode="\$#,##0.00"/>
  </numFmts>
  <fonts count="46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Segoe UI"/>
      <charset val="1"/>
      <family val="0"/>
      <color theme="1"/>
      <sz val="11"/>
    </font>
    <font>
      <name val="Trebuchet MS"/>
      <charset val="1"/>
      <family val="0"/>
      <b val="1"/>
      <color rgb="FF2D8C6F"/>
      <sz val="26"/>
    </font>
    <font>
      <name val="Trebuchet MS"/>
      <charset val="1"/>
      <family val="0"/>
      <i val="1"/>
      <color rgb="FF6B7280"/>
      <sz val="11"/>
    </font>
    <font>
      <name val="Segoe UI"/>
      <charset val="1"/>
      <family val="0"/>
      <b val="1"/>
      <color rgb="FF6B7280"/>
      <sz val="8"/>
    </font>
    <font>
      <name val="Segoe UI"/>
      <charset val="1"/>
      <family val="0"/>
      <b val="1"/>
      <color rgb="FF1A1C20"/>
      <sz val="12"/>
    </font>
    <font>
      <name val="Segoe UI"/>
      <charset val="1"/>
      <family val="0"/>
      <b val="1"/>
      <color rgb="FF0000FF"/>
      <sz val="12"/>
    </font>
    <font>
      <name val="Segoe UI"/>
      <charset val="1"/>
      <family val="0"/>
      <b val="1"/>
      <color rgb="FF2D8C6F"/>
      <sz val="8"/>
    </font>
    <font>
      <name val="Trebuchet MS"/>
      <charset val="1"/>
      <family val="0"/>
      <b val="1"/>
      <color rgb="FFFFFFFF"/>
      <sz val="32"/>
    </font>
    <font>
      <name val="Trebuchet MS"/>
      <charset val="1"/>
      <family val="0"/>
      <b val="1"/>
      <color rgb="FF2D8C6F"/>
      <sz val="28"/>
    </font>
    <font>
      <name val="Segoe UI"/>
      <charset val="1"/>
      <family val="0"/>
      <i val="1"/>
      <color rgb="FF6B7280"/>
      <sz val="11"/>
    </font>
    <font>
      <name val="Segoe UI"/>
      <charset val="1"/>
      <family val="0"/>
      <i val="1"/>
      <color rgb="FF2D8C6F"/>
      <sz val="11"/>
    </font>
    <font>
      <name val="Segoe UI"/>
      <charset val="1"/>
      <family val="0"/>
      <color rgb="FF6B7280"/>
      <sz val="10"/>
    </font>
    <font>
      <name val="Trebuchet MS"/>
      <charset val="1"/>
      <family val="0"/>
      <b val="1"/>
      <color rgb="FF2D8C6F"/>
      <sz val="18"/>
    </font>
    <font>
      <name val="Trebuchet MS"/>
      <charset val="1"/>
      <family val="0"/>
      <b val="1"/>
      <color rgb="FF1A1C20"/>
      <sz val="18"/>
    </font>
    <font>
      <name val="Trebuchet MS"/>
      <charset val="1"/>
      <family val="0"/>
      <b val="1"/>
      <color rgb="FFC4574B"/>
      <sz val="18"/>
    </font>
    <font>
      <name val="Trebuchet MS"/>
      <charset val="1"/>
      <family val="0"/>
      <b val="1"/>
      <color rgb="FF5B7FA5"/>
      <sz val="18"/>
    </font>
    <font>
      <name val="Segoe UI"/>
      <charset val="1"/>
      <family val="0"/>
      <b val="1"/>
      <color rgb="FF6B7280"/>
      <sz val="9"/>
    </font>
    <font>
      <name val="Segoe UI"/>
      <charset val="1"/>
      <family val="0"/>
      <b val="1"/>
      <color rgb="FF2D8C6F"/>
      <sz val="11"/>
    </font>
    <font>
      <name val="Segoe UI"/>
      <charset val="1"/>
      <family val="0"/>
      <color rgb="FF1A1C20"/>
      <sz val="10"/>
    </font>
    <font>
      <name val="Segoe UI"/>
      <charset val="1"/>
      <family val="0"/>
      <b val="1"/>
      <color rgb="FF2D8C6F"/>
      <sz val="10"/>
    </font>
    <font>
      <name val="Segoe UI"/>
      <charset val="1"/>
      <family val="0"/>
      <color rgb="FF1A1C20"/>
      <sz val="9"/>
    </font>
    <font>
      <name val="Segoe UI"/>
      <charset val="1"/>
      <family val="0"/>
      <color rgb="FF6B7280"/>
      <sz val="9"/>
    </font>
    <font>
      <name val="Segoe UI"/>
      <charset val="1"/>
      <family val="0"/>
      <b val="1"/>
      <color rgb="FF1A1C20"/>
      <sz val="10"/>
    </font>
    <font>
      <name val="Segoe UI"/>
      <charset val="1"/>
      <family val="0"/>
      <color rgb="FF1A1C20"/>
      <sz val="11"/>
    </font>
    <font>
      <name val="Segoe UI"/>
      <charset val="1"/>
      <family val="0"/>
      <i val="1"/>
      <color rgb="FF2D8C6F"/>
      <sz val="10"/>
    </font>
    <font>
      <name val="Trebuchet MS"/>
      <charset val="1"/>
      <family val="0"/>
      <b val="1"/>
      <color rgb="FF2D8C6F"/>
      <sz val="24"/>
    </font>
    <font>
      <name val="Segoe UI"/>
      <charset val="1"/>
      <family val="0"/>
      <i val="1"/>
      <color rgb="FF6B7280"/>
      <sz val="10"/>
    </font>
    <font>
      <name val="Segoe UI"/>
      <charset val="1"/>
      <family val="0"/>
      <i val="1"/>
      <color rgb="FF6B7280"/>
      <sz val="9"/>
    </font>
    <font>
      <name val="Segoe UI"/>
      <charset val="1"/>
      <family val="0"/>
      <b val="1"/>
      <color rgb="FFFFFFFF"/>
      <sz val="9"/>
    </font>
    <font>
      <name val="Segoe UI"/>
      <charset val="1"/>
      <family val="0"/>
      <b val="1"/>
      <color rgb="FF2D8C6F"/>
      <sz val="9"/>
    </font>
    <font>
      <name val="Segoe UI"/>
      <charset val="1"/>
      <family val="0"/>
      <color rgb="FF0000FF"/>
      <sz val="10"/>
    </font>
    <font>
      <name val="Segoe UI"/>
      <charset val="1"/>
      <family val="0"/>
      <b val="1"/>
      <color rgb="FF2D8C6F"/>
      <sz val="12"/>
    </font>
    <font>
      <name val="Segoe UI"/>
      <charset val="1"/>
      <family val="0"/>
      <color rgb="FFE0E2E6"/>
      <sz val="8"/>
    </font>
    <font>
      <name val="Trebuchet MS"/>
      <charset val="1"/>
      <family val="0"/>
      <b val="1"/>
      <color rgb="FF2D8C6F"/>
      <sz val="22"/>
    </font>
    <font>
      <name val="Calibri"/>
      <family val="2"/>
      <b val="1"/>
      <color rgb="FF000000"/>
      <sz val="18"/>
    </font>
    <font>
      <name val="Calibri"/>
      <family val="2"/>
      <color rgb="FF000000"/>
      <sz val="10"/>
    </font>
    <font>
      <name val="Calibri"/>
      <family val="2"/>
      <b val="1"/>
      <color rgb="FF000000"/>
      <sz val="10"/>
    </font>
    <font>
      <name val="Segoe UI"/>
      <charset val="1"/>
      <family val="0"/>
      <color rgb="FF2D8C6F"/>
      <sz val="14"/>
    </font>
    <font>
      <name val="Segoe UI"/>
      <charset val="1"/>
      <family val="0"/>
      <b val="1"/>
      <color rgb="FFFFFFFF"/>
      <sz val="10"/>
    </font>
    <font>
      <name val="Trebuchet MS"/>
      <b val="1"/>
      <color rgb="FF1A1C20"/>
      <sz val="32"/>
    </font>
    <font>
      <name val="Segoe UI"/>
      <b val="1"/>
      <color rgb="FF1A1C20"/>
      <sz val="9"/>
    </font>
    <font>
      <name val="Segoe UI"/>
      <b val="1"/>
      <color rgb="FF1A1C20"/>
      <sz val="10"/>
    </font>
  </fonts>
  <fills count="11">
    <fill>
      <patternFill/>
    </fill>
    <fill>
      <patternFill patternType="gray125"/>
    </fill>
    <fill>
      <patternFill patternType="solid">
        <fgColor rgb="FFF4F7F5"/>
        <bgColor rgb="FFF0F5E8"/>
      </patternFill>
    </fill>
    <fill>
      <patternFill patternType="solid">
        <fgColor rgb="FF2B2D31"/>
        <bgColor rgb="FF1A1C20"/>
      </patternFill>
    </fill>
    <fill>
      <patternFill patternType="solid">
        <fgColor rgb="FFF0F5E8"/>
        <bgColor rgb="FFEDF2EF"/>
      </patternFill>
    </fill>
    <fill>
      <patternFill patternType="solid">
        <fgColor rgb="FFEDF2EF"/>
        <bgColor rgb="FFF0F5E8"/>
      </patternFill>
    </fill>
    <fill>
      <patternFill patternType="solid">
        <fgColor rgb="FFE8EEEB"/>
        <bgColor rgb="FFEDF2EF"/>
      </patternFill>
    </fill>
    <fill>
      <patternFill patternType="solid">
        <fgColor rgb="FFFFFFFF"/>
        <bgColor rgb="FFFFFFFF"/>
      </patternFill>
    </fill>
    <fill>
      <patternFill patternType="solid">
        <fgColor rgb="FFE0F0E8"/>
        <bgColor rgb="FFE0F0E8"/>
      </patternFill>
    </fill>
    <fill>
      <patternFill patternType="solid">
        <fgColor rgb="FFF5FAF0"/>
        <bgColor rgb="FFF5FAF0"/>
      </patternFill>
    </fill>
    <fill>
      <patternFill patternType="solid">
        <fgColor rgb="FFF0F7F3"/>
        <bgColor rgb="FFF0F7F3"/>
      </patternFill>
    </fill>
  </fills>
  <borders count="11">
    <border>
      <left/>
      <right/>
      <top/>
      <bottom/>
      <diagonal/>
    </border>
    <border>
      <left style="thin">
        <color rgb="FF2D8C6F"/>
      </left>
      <right/>
      <top/>
      <bottom style="hair">
        <color rgb="FFC8D5CE"/>
      </bottom>
      <diagonal/>
    </border>
    <border>
      <left/>
      <right/>
      <top style="medium">
        <color rgb="FF2D8C6F"/>
      </top>
      <bottom/>
      <diagonal/>
    </border>
    <border>
      <left/>
      <right/>
      <top/>
      <bottom style="hair">
        <color rgb="FFC8D5CE"/>
      </bottom>
      <diagonal/>
    </border>
    <border>
      <bottom style="thin">
        <color rgb="FF2D8C6F"/>
      </bottom>
    </border>
    <border>
      <left style="thin">
        <color rgb="FF2D8C6F"/>
      </left>
      <right style="hair">
        <color rgb="FFD0D5DD"/>
      </right>
      <top style="hair">
        <color rgb="FFD0D5DD"/>
      </top>
      <bottom style="hair">
        <color rgb="FFC8D5CE"/>
      </bottom>
    </border>
    <border>
      <left style="thin">
        <color rgb="FF2D8C6F"/>
      </left>
      <right style="hair">
        <color rgb="FFD0D5DD"/>
      </right>
      <top style="hair">
        <color rgb="FFD0D5DD"/>
      </top>
      <bottom style="thin">
        <color rgb="FFD0D5DD"/>
      </bottom>
    </border>
    <border>
      <left/>
      <right/>
      <top/>
      <bottom style="thin">
        <color rgb="FFD0D5DD"/>
      </bottom>
    </border>
    <border>
      <left style="hair">
        <color rgb="FFD0D5DD"/>
      </left>
      <right style="hair">
        <color rgb="FFD0D5DD"/>
      </right>
      <top style="hair">
        <color rgb="FFD0D5DD"/>
      </top>
      <bottom style="hair">
        <color rgb="FFC8D5CE"/>
      </bottom>
    </border>
    <border>
      <left style="hair">
        <color rgb="FFD0D5DD"/>
      </left>
      <right style="hair">
        <color rgb="FFD0D5DD"/>
      </right>
      <top style="hair">
        <color rgb="FFD0D5DD"/>
      </top>
      <bottom style="thin">
        <color rgb="FFD0D5DD"/>
      </bottom>
    </border>
    <border>
      <bottom style="thin">
        <color rgb="FFD0D5DD"/>
      </bottom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68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general" vertical="bottom"/>
    </xf>
    <xf numFmtId="0" fontId="4" fillId="3" borderId="0" applyAlignment="1" pivotButton="0" quotePrefix="0" xfId="0">
      <alignment horizontal="general" vertical="bottom"/>
    </xf>
    <xf numFmtId="0" fontId="5" fillId="3" borderId="0" applyAlignment="1" pivotButton="0" quotePrefix="0" xfId="0">
      <alignment horizontal="left" vertical="center"/>
    </xf>
    <xf numFmtId="0" fontId="6" fillId="3" borderId="0" applyAlignment="1" pivotButton="0" quotePrefix="0" xfId="0">
      <alignment horizontal="right" vertical="center"/>
    </xf>
    <xf numFmtId="0" fontId="7" fillId="2" borderId="0" applyAlignment="1" pivotButton="0" quotePrefix="0" xfId="0">
      <alignment horizontal="center" vertical="center"/>
    </xf>
    <xf numFmtId="0" fontId="8" fillId="4" borderId="1" applyAlignment="1" applyProtection="1" pivotButton="0" quotePrefix="0" xfId="0">
      <alignment horizontal="center" vertical="center"/>
      <protection locked="0" hidden="0"/>
    </xf>
    <xf numFmtId="164" fontId="9" fillId="4" borderId="1" applyAlignment="1" applyProtection="1" pivotButton="0" quotePrefix="0" xfId="0">
      <alignment horizontal="center" vertical="center"/>
      <protection locked="0" hidden="0"/>
    </xf>
    <xf numFmtId="0" fontId="10" fillId="2" borderId="0" applyAlignment="1" pivotButton="0" quotePrefix="0" xfId="0">
      <alignment horizontal="right" vertical="center"/>
    </xf>
    <xf numFmtId="0" fontId="7" fillId="2" borderId="0" applyAlignment="1" pivotButton="0" quotePrefix="0" xfId="0">
      <alignment horizontal="left" vertical="center"/>
    </xf>
    <xf numFmtId="0" fontId="10" fillId="3" borderId="0" applyAlignment="1" pivotButton="0" quotePrefix="0" xfId="0">
      <alignment horizontal="center" vertical="center"/>
    </xf>
    <xf numFmtId="0" fontId="7" fillId="5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general" vertical="bottom"/>
    </xf>
    <xf numFmtId="165" fontId="11" fillId="3" borderId="0" applyAlignment="1" pivotButton="0" quotePrefix="0" xfId="0">
      <alignment horizontal="center" vertical="center"/>
    </xf>
    <xf numFmtId="9" fontId="12" fillId="5" borderId="0" applyAlignment="1" pivotButton="0" quotePrefix="0" xfId="0">
      <alignment horizontal="center" vertical="center"/>
    </xf>
    <xf numFmtId="0" fontId="13" fillId="5" borderId="0" applyAlignment="1" pivotButton="0" quotePrefix="0" xfId="0">
      <alignment horizontal="left" vertical="center"/>
    </xf>
    <xf numFmtId="0" fontId="14" fillId="3" borderId="0" applyAlignment="1" pivotButton="0" quotePrefix="0" xfId="0">
      <alignment horizontal="center" vertical="center"/>
    </xf>
    <xf numFmtId="0" fontId="15" fillId="5" borderId="0" applyAlignment="1" pivotButton="0" quotePrefix="0" xfId="0">
      <alignment horizontal="center" vertical="center"/>
    </xf>
    <xf numFmtId="164" fontId="16" fillId="5" borderId="2" applyAlignment="1" pivotButton="0" quotePrefix="0" xfId="0">
      <alignment horizontal="center" vertical="center"/>
    </xf>
    <xf numFmtId="164" fontId="17" fillId="5" borderId="2" applyAlignment="1" pivotButton="0" quotePrefix="0" xfId="0">
      <alignment horizontal="center" vertical="center"/>
    </xf>
    <xf numFmtId="164" fontId="18" fillId="5" borderId="2" applyAlignment="1" pivotButton="0" quotePrefix="0" xfId="0">
      <alignment horizontal="center" vertical="center"/>
    </xf>
    <xf numFmtId="1" fontId="19" fillId="5" borderId="2" applyAlignment="1" pivotButton="0" quotePrefix="0" xfId="0">
      <alignment horizontal="center" vertical="center"/>
    </xf>
    <xf numFmtId="0" fontId="20" fillId="5" borderId="0" applyAlignment="1" pivotButton="0" quotePrefix="0" xfId="0">
      <alignment horizontal="center" vertical="center"/>
    </xf>
    <xf numFmtId="0" fontId="21" fillId="3" borderId="0" applyAlignment="1" pivotButton="0" quotePrefix="0" xfId="0">
      <alignment horizontal="left" vertical="center"/>
    </xf>
    <xf numFmtId="0" fontId="7" fillId="6" borderId="0" applyAlignment="1" pivotButton="0" quotePrefix="0" xfId="0">
      <alignment horizontal="center" vertical="center"/>
    </xf>
    <xf numFmtId="0" fontId="22" fillId="2" borderId="3" applyAlignment="1" pivotButton="0" quotePrefix="0" xfId="0">
      <alignment horizontal="left" vertical="center"/>
    </xf>
    <xf numFmtId="0" fontId="4" fillId="2" borderId="3" applyAlignment="1" pivotButton="0" quotePrefix="0" xfId="0">
      <alignment horizontal="general" vertical="bottom"/>
    </xf>
    <xf numFmtId="164" fontId="22" fillId="2" borderId="3" applyAlignment="1" pivotButton="0" quotePrefix="0" xfId="0">
      <alignment horizontal="center" vertical="center"/>
    </xf>
    <xf numFmtId="166" fontId="22" fillId="2" borderId="3" applyAlignment="1" pivotButton="0" quotePrefix="0" xfId="0">
      <alignment horizontal="center" vertical="center"/>
    </xf>
    <xf numFmtId="0" fontId="23" fillId="2" borderId="3" applyAlignment="1" pivotButton="0" quotePrefix="0" xfId="0">
      <alignment horizontal="center" vertical="center"/>
    </xf>
    <xf numFmtId="0" fontId="24" fillId="2" borderId="3" applyAlignment="1" pivotButton="0" quotePrefix="0" xfId="0">
      <alignment horizontal="center" vertical="center"/>
    </xf>
    <xf numFmtId="0" fontId="25" fillId="2" borderId="3" applyAlignment="1" pivotButton="0" quotePrefix="0" xfId="0">
      <alignment horizontal="center" vertical="center"/>
    </xf>
    <xf numFmtId="0" fontId="22" fillId="6" borderId="3" applyAlignment="1" pivotButton="0" quotePrefix="0" xfId="0">
      <alignment horizontal="left" vertical="center"/>
    </xf>
    <xf numFmtId="0" fontId="4" fillId="6" borderId="3" applyAlignment="1" pivotButton="0" quotePrefix="0" xfId="0">
      <alignment horizontal="general" vertical="bottom"/>
    </xf>
    <xf numFmtId="164" fontId="22" fillId="6" borderId="3" applyAlignment="1" pivotButton="0" quotePrefix="0" xfId="0">
      <alignment horizontal="center" vertical="center"/>
    </xf>
    <xf numFmtId="166" fontId="22" fillId="6" borderId="3" applyAlignment="1" pivotButton="0" quotePrefix="0" xfId="0">
      <alignment horizontal="center" vertical="center"/>
    </xf>
    <xf numFmtId="0" fontId="23" fillId="6" borderId="3" applyAlignment="1" pivotButton="0" quotePrefix="0" xfId="0">
      <alignment horizontal="center" vertical="center"/>
    </xf>
    <xf numFmtId="0" fontId="24" fillId="6" borderId="3" applyAlignment="1" pivotButton="0" quotePrefix="0" xfId="0">
      <alignment horizontal="center" vertical="center"/>
    </xf>
    <xf numFmtId="0" fontId="25" fillId="6" borderId="3" applyAlignment="1" pivotButton="0" quotePrefix="0" xfId="0">
      <alignment horizontal="center" vertical="center"/>
    </xf>
    <xf numFmtId="0" fontId="4" fillId="6" borderId="0" applyAlignment="1" pivotButton="0" quotePrefix="0" xfId="0">
      <alignment horizontal="general" vertical="bottom"/>
    </xf>
    <xf numFmtId="0" fontId="7" fillId="6" borderId="0" applyAlignment="1" pivotButton="0" quotePrefix="0" xfId="0">
      <alignment horizontal="center" vertical="bottom"/>
    </xf>
    <xf numFmtId="0" fontId="26" fillId="2" borderId="0" applyAlignment="1" pivotButton="0" quotePrefix="0" xfId="0">
      <alignment horizontal="left" vertical="center"/>
    </xf>
    <xf numFmtId="164" fontId="27" fillId="2" borderId="0" applyAlignment="1" pivotButton="0" quotePrefix="0" xfId="0">
      <alignment horizontal="center" vertical="center"/>
    </xf>
    <xf numFmtId="164" fontId="21" fillId="2" borderId="0" applyAlignment="1" pivotButton="0" quotePrefix="0" xfId="0">
      <alignment horizontal="center" vertical="center"/>
    </xf>
    <xf numFmtId="0" fontId="26" fillId="6" borderId="0" applyAlignment="1" pivotButton="0" quotePrefix="0" xfId="0">
      <alignment horizontal="left" vertical="center"/>
    </xf>
    <xf numFmtId="1" fontId="27" fillId="6" borderId="0" applyAlignment="1" pivotButton="0" quotePrefix="0" xfId="0">
      <alignment horizontal="center" vertical="center"/>
    </xf>
    <xf numFmtId="1" fontId="21" fillId="6" borderId="0" applyAlignment="1" pivotButton="0" quotePrefix="0" xfId="0">
      <alignment horizontal="center" vertical="center"/>
    </xf>
    <xf numFmtId="167" fontId="27" fillId="2" borderId="0" applyAlignment="1" pivotButton="0" quotePrefix="0" xfId="0">
      <alignment horizontal="center" vertical="center"/>
    </xf>
    <xf numFmtId="0" fontId="28" fillId="2" borderId="0" applyAlignment="1" pivotButton="0" quotePrefix="0" xfId="0">
      <alignment horizontal="left" vertical="center"/>
    </xf>
    <xf numFmtId="0" fontId="29" fillId="3" borderId="0" applyAlignment="1" pivotButton="0" quotePrefix="0" xfId="0">
      <alignment horizontal="left" vertical="center"/>
    </xf>
    <xf numFmtId="0" fontId="30" fillId="2" borderId="0" applyAlignment="1" pivotButton="0" quotePrefix="0" xfId="0">
      <alignment horizontal="left" vertical="center"/>
    </xf>
    <xf numFmtId="0" fontId="31" fillId="2" borderId="0" applyAlignment="1" pivotButton="0" quotePrefix="0" xfId="0">
      <alignment horizontal="general" vertical="bottom"/>
    </xf>
    <xf numFmtId="0" fontId="32" fillId="3" borderId="0" applyAlignment="1" pivotButton="0" quotePrefix="0" xfId="0">
      <alignment horizontal="center" vertical="center"/>
    </xf>
    <xf numFmtId="0" fontId="33" fillId="3" borderId="0" applyAlignment="1" pivotButton="0" quotePrefix="0" xfId="0">
      <alignment horizontal="center" vertical="center"/>
    </xf>
    <xf numFmtId="0" fontId="34" fillId="4" borderId="1" applyAlignment="1" applyProtection="1" pivotButton="0" quotePrefix="0" xfId="0">
      <alignment horizontal="center" vertical="center"/>
      <protection locked="0" hidden="0"/>
    </xf>
    <xf numFmtId="168" fontId="34" fillId="4" borderId="3" applyAlignment="1" applyProtection="1" pivotButton="0" quotePrefix="0" xfId="0">
      <alignment horizontal="center" vertical="center"/>
      <protection locked="0" hidden="0"/>
    </xf>
    <xf numFmtId="10" fontId="34" fillId="4" borderId="3" applyAlignment="1" applyProtection="1" pivotButton="0" quotePrefix="0" xfId="0">
      <alignment horizontal="center" vertical="center"/>
      <protection locked="0" hidden="0"/>
    </xf>
    <xf numFmtId="0" fontId="34" fillId="4" borderId="3" applyAlignment="1" applyProtection="1" pivotButton="0" quotePrefix="0" xfId="0">
      <alignment horizontal="center" vertical="center"/>
      <protection locked="0" hidden="0"/>
    </xf>
    <xf numFmtId="164" fontId="35" fillId="5" borderId="0" applyAlignment="1" pivotButton="0" quotePrefix="0" xfId="0">
      <alignment horizontal="center" vertical="center"/>
    </xf>
    <xf numFmtId="0" fontId="25" fillId="5" borderId="0" applyAlignment="1" pivotButton="0" quotePrefix="0" xfId="0">
      <alignment horizontal="left" vertical="center"/>
    </xf>
    <xf numFmtId="164" fontId="35" fillId="2" borderId="0" applyAlignment="1" pivotButton="0" quotePrefix="0" xfId="0">
      <alignment horizontal="center" vertical="center"/>
    </xf>
    <xf numFmtId="0" fontId="25" fillId="2" borderId="0" applyAlignment="1" pivotButton="0" quotePrefix="0" xfId="0">
      <alignment horizontal="left" vertical="center"/>
    </xf>
    <xf numFmtId="10" fontId="35" fillId="5" borderId="0" applyAlignment="1" pivotButton="0" quotePrefix="0" xfId="0">
      <alignment horizontal="center" vertical="center"/>
    </xf>
    <xf numFmtId="1" fontId="35" fillId="2" borderId="0" applyAlignment="1" pivotButton="0" quotePrefix="0" xfId="0">
      <alignment horizontal="center" vertical="center"/>
    </xf>
    <xf numFmtId="0" fontId="36" fillId="2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general" vertical="bottom"/>
    </xf>
    <xf numFmtId="0" fontId="37" fillId="3" borderId="0" applyAlignment="1" pivotButton="0" quotePrefix="0" xfId="0">
      <alignment horizontal="left" vertical="center"/>
    </xf>
    <xf numFmtId="0" fontId="33" fillId="6" borderId="0" applyAlignment="1" pivotButton="0" quotePrefix="0" xfId="0">
      <alignment horizontal="center" vertical="bottom"/>
    </xf>
    <xf numFmtId="0" fontId="32" fillId="3" borderId="0" applyAlignment="1" pivotButton="0" quotePrefix="0" xfId="0">
      <alignment horizontal="center" vertical="bottom"/>
    </xf>
    <xf numFmtId="164" fontId="4" fillId="0" borderId="0" applyAlignment="1" pivotButton="0" quotePrefix="0" xfId="0">
      <alignment horizontal="general" vertical="bottom"/>
    </xf>
    <xf numFmtId="167" fontId="4" fillId="0" borderId="0" applyAlignment="1" pivotButton="0" quotePrefix="0" xfId="0">
      <alignment horizontal="general" vertical="bottom"/>
    </xf>
    <xf numFmtId="0" fontId="24" fillId="0" borderId="0" applyAlignment="1" pivotButton="0" quotePrefix="0" xfId="0">
      <alignment horizontal="general" vertical="bottom"/>
    </xf>
    <xf numFmtId="168" fontId="4" fillId="0" borderId="0" applyAlignment="1" pivotButton="0" quotePrefix="0" xfId="0">
      <alignment horizontal="general" vertical="bottom"/>
    </xf>
    <xf numFmtId="0" fontId="41" fillId="6" borderId="0" applyAlignment="1" pivotButton="0" quotePrefix="0" xfId="0">
      <alignment horizontal="center" vertical="center"/>
    </xf>
    <xf numFmtId="0" fontId="42" fillId="3" borderId="0" applyAlignment="1" pivotButton="0" quotePrefix="0" xfId="0">
      <alignment horizontal="center" vertical="center"/>
    </xf>
    <xf numFmtId="0" fontId="22" fillId="6" borderId="0" applyAlignment="1" pivotButton="0" quotePrefix="0" xfId="0">
      <alignment horizontal="left" vertical="center" wrapText="1"/>
    </xf>
    <xf numFmtId="0" fontId="23" fillId="6" borderId="0" applyAlignment="1" pivotButton="0" quotePrefix="0" xfId="0">
      <alignment horizontal="center" vertical="center"/>
    </xf>
    <xf numFmtId="0" fontId="24" fillId="6" borderId="0" applyAlignment="1" pivotButton="0" quotePrefix="0" xfId="0">
      <alignment horizontal="left" vertical="center" wrapText="1"/>
    </xf>
    <xf numFmtId="0" fontId="23" fillId="2" borderId="0" applyAlignment="1" pivotButton="0" quotePrefix="0" xfId="0">
      <alignment horizontal="center" vertical="center"/>
    </xf>
    <xf numFmtId="0" fontId="24" fillId="2" borderId="0" applyAlignment="1" pivotButton="0" quotePrefix="0" xfId="0">
      <alignment horizontal="left" vertical="center" wrapText="1"/>
    </xf>
    <xf numFmtId="0" fontId="28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7" borderId="0" applyAlignment="1" pivotButton="0" quotePrefix="0" xfId="0">
      <alignment horizontal="general" vertical="bottom"/>
    </xf>
    <xf numFmtId="0" fontId="4" fillId="8" borderId="4" applyAlignment="1" pivotButton="0" quotePrefix="0" xfId="0">
      <alignment horizontal="general" vertical="bottom"/>
    </xf>
    <xf numFmtId="0" fontId="5" fillId="8" borderId="4" applyAlignment="1" pivotButton="0" quotePrefix="0" xfId="0">
      <alignment horizontal="left" vertical="center"/>
    </xf>
    <xf numFmtId="0" fontId="6" fillId="8" borderId="4" applyAlignment="1" pivotButton="0" quotePrefix="0" xfId="0">
      <alignment horizontal="right" vertical="center"/>
    </xf>
    <xf numFmtId="0" fontId="7" fillId="7" borderId="0" applyAlignment="1" pivotButton="0" quotePrefix="0" xfId="0">
      <alignment horizontal="center" vertical="center"/>
    </xf>
    <xf numFmtId="0" fontId="8" fillId="9" borderId="6" applyAlignment="1" applyProtection="1" pivotButton="0" quotePrefix="0" xfId="0">
      <alignment horizontal="center" vertical="center"/>
      <protection locked="0" hidden="0"/>
    </xf>
    <xf numFmtId="0" fontId="0" fillId="0" borderId="7" applyProtection="1" pivotButton="0" quotePrefix="0" xfId="0">
      <protection locked="0" hidden="0"/>
    </xf>
    <xf numFmtId="164" fontId="9" fillId="9" borderId="6" applyAlignment="1" applyProtection="1" pivotButton="0" quotePrefix="0" xfId="0">
      <alignment horizontal="center" vertical="center"/>
      <protection locked="0" hidden="0"/>
    </xf>
    <xf numFmtId="0" fontId="10" fillId="7" borderId="0" applyAlignment="1" pivotButton="0" quotePrefix="0" xfId="0">
      <alignment horizontal="right" vertical="center"/>
    </xf>
    <xf numFmtId="0" fontId="7" fillId="7" borderId="0" applyAlignment="1" pivotButton="0" quotePrefix="0" xfId="0">
      <alignment horizontal="left" vertical="center"/>
    </xf>
    <xf numFmtId="0" fontId="10" fillId="8" borderId="4" applyAlignment="1" pivotButton="0" quotePrefix="0" xfId="0">
      <alignment horizontal="center" vertical="center"/>
    </xf>
    <xf numFmtId="0" fontId="7" fillId="10" borderId="0" applyAlignment="1" pivotButton="0" quotePrefix="0" xfId="0">
      <alignment horizontal="center" vertical="center"/>
    </xf>
    <xf numFmtId="0" fontId="4" fillId="10" borderId="0" applyAlignment="1" pivotButton="0" quotePrefix="0" xfId="0">
      <alignment horizontal="general" vertical="bottom"/>
    </xf>
    <xf numFmtId="165" fontId="43" fillId="8" borderId="4" applyAlignment="1" pivotButton="0" quotePrefix="0" xfId="0">
      <alignment horizontal="center" vertical="center"/>
    </xf>
    <xf numFmtId="9" fontId="12" fillId="10" borderId="0" applyAlignment="1" pivotButton="0" quotePrefix="0" xfId="0">
      <alignment horizontal="center" vertical="center"/>
    </xf>
    <xf numFmtId="0" fontId="13" fillId="10" borderId="0" applyAlignment="1" pivotButton="0" quotePrefix="0" xfId="0">
      <alignment horizontal="left" vertical="center"/>
    </xf>
    <xf numFmtId="0" fontId="14" fillId="8" borderId="4" applyAlignment="1" pivotButton="0" quotePrefix="0" xfId="0">
      <alignment horizontal="center" vertical="center"/>
    </xf>
    <xf numFmtId="0" fontId="15" fillId="10" borderId="0" applyAlignment="1" pivotButton="0" quotePrefix="0" xfId="0">
      <alignment horizontal="center" vertical="center"/>
    </xf>
    <xf numFmtId="164" fontId="16" fillId="10" borderId="2" applyAlignment="1" pivotButton="0" quotePrefix="0" xfId="0">
      <alignment horizontal="center" vertical="center"/>
    </xf>
    <xf numFmtId="0" fontId="0" fillId="0" borderId="2" pivotButton="0" quotePrefix="0" xfId="0"/>
    <xf numFmtId="164" fontId="17" fillId="10" borderId="2" applyAlignment="1" pivotButton="0" quotePrefix="0" xfId="0">
      <alignment horizontal="center" vertical="center"/>
    </xf>
    <xf numFmtId="164" fontId="18" fillId="10" borderId="2" applyAlignment="1" pivotButton="0" quotePrefix="0" xfId="0">
      <alignment horizontal="center" vertical="center"/>
    </xf>
    <xf numFmtId="1" fontId="19" fillId="10" borderId="2" applyAlignment="1" pivotButton="0" quotePrefix="0" xfId="0">
      <alignment horizontal="center" vertical="center"/>
    </xf>
    <xf numFmtId="0" fontId="20" fillId="10" borderId="0" applyAlignment="1" pivotButton="0" quotePrefix="0" xfId="0">
      <alignment horizontal="center" vertical="center"/>
    </xf>
    <xf numFmtId="0" fontId="21" fillId="8" borderId="4" applyAlignment="1" pivotButton="0" quotePrefix="0" xfId="0">
      <alignment horizontal="left" vertical="center"/>
    </xf>
    <xf numFmtId="0" fontId="22" fillId="7" borderId="7" applyAlignment="1" pivotButton="0" quotePrefix="0" xfId="0">
      <alignment horizontal="left" vertical="center"/>
    </xf>
    <xf numFmtId="0" fontId="4" fillId="7" borderId="7" applyAlignment="1" pivotButton="0" quotePrefix="0" xfId="0">
      <alignment horizontal="general" vertical="bottom"/>
    </xf>
    <xf numFmtId="164" fontId="22" fillId="7" borderId="7" applyAlignment="1" pivotButton="0" quotePrefix="0" xfId="0">
      <alignment horizontal="center" vertical="center"/>
    </xf>
    <xf numFmtId="166" fontId="22" fillId="7" borderId="7" applyAlignment="1" pivotButton="0" quotePrefix="0" xfId="0">
      <alignment horizontal="center" vertical="center"/>
    </xf>
    <xf numFmtId="0" fontId="23" fillId="7" borderId="7" applyAlignment="1" pivotButton="0" quotePrefix="0" xfId="0">
      <alignment horizontal="center" vertical="center"/>
    </xf>
    <xf numFmtId="0" fontId="24" fillId="7" borderId="7" applyAlignment="1" pivotButton="0" quotePrefix="0" xfId="0">
      <alignment horizontal="center" vertical="center"/>
    </xf>
    <xf numFmtId="0" fontId="25" fillId="7" borderId="7" applyAlignment="1" pivotButton="0" quotePrefix="0" xfId="0">
      <alignment horizontal="center" vertical="center"/>
    </xf>
    <xf numFmtId="0" fontId="22" fillId="10" borderId="7" applyAlignment="1" pivotButton="0" quotePrefix="0" xfId="0">
      <alignment horizontal="left" vertical="center"/>
    </xf>
    <xf numFmtId="0" fontId="4" fillId="10" borderId="7" applyAlignment="1" pivotButton="0" quotePrefix="0" xfId="0">
      <alignment horizontal="general" vertical="bottom"/>
    </xf>
    <xf numFmtId="164" fontId="22" fillId="10" borderId="7" applyAlignment="1" pivotButton="0" quotePrefix="0" xfId="0">
      <alignment horizontal="center" vertical="center"/>
    </xf>
    <xf numFmtId="166" fontId="22" fillId="10" borderId="7" applyAlignment="1" pivotButton="0" quotePrefix="0" xfId="0">
      <alignment horizontal="center" vertical="center"/>
    </xf>
    <xf numFmtId="0" fontId="23" fillId="10" borderId="7" applyAlignment="1" pivotButton="0" quotePrefix="0" xfId="0">
      <alignment horizontal="center" vertical="center"/>
    </xf>
    <xf numFmtId="0" fontId="24" fillId="10" borderId="7" applyAlignment="1" pivotButton="0" quotePrefix="0" xfId="0">
      <alignment horizontal="center" vertical="center"/>
    </xf>
    <xf numFmtId="0" fontId="25" fillId="10" borderId="7" applyAlignment="1" pivotButton="0" quotePrefix="0" xfId="0">
      <alignment horizontal="center" vertical="center"/>
    </xf>
    <xf numFmtId="0" fontId="7" fillId="10" borderId="0" applyAlignment="1" pivotButton="0" quotePrefix="0" xfId="0">
      <alignment horizontal="center" vertical="bottom"/>
    </xf>
    <xf numFmtId="0" fontId="26" fillId="7" borderId="0" applyAlignment="1" pivotButton="0" quotePrefix="0" xfId="0">
      <alignment horizontal="left" vertical="center"/>
    </xf>
    <xf numFmtId="164" fontId="27" fillId="7" borderId="0" applyAlignment="1" pivotButton="0" quotePrefix="0" xfId="0">
      <alignment horizontal="center" vertical="center"/>
    </xf>
    <xf numFmtId="164" fontId="21" fillId="7" borderId="0" applyAlignment="1" pivotButton="0" quotePrefix="0" xfId="0">
      <alignment horizontal="center" vertical="center"/>
    </xf>
    <xf numFmtId="0" fontId="26" fillId="10" borderId="0" applyAlignment="1" pivotButton="0" quotePrefix="0" xfId="0">
      <alignment horizontal="left" vertical="center"/>
    </xf>
    <xf numFmtId="1" fontId="27" fillId="10" borderId="0" applyAlignment="1" pivotButton="0" quotePrefix="0" xfId="0">
      <alignment horizontal="center" vertical="center"/>
    </xf>
    <xf numFmtId="1" fontId="21" fillId="10" borderId="0" applyAlignment="1" pivotButton="0" quotePrefix="0" xfId="0">
      <alignment horizontal="center" vertical="center"/>
    </xf>
    <xf numFmtId="167" fontId="27" fillId="7" borderId="0" applyAlignment="1" pivotButton="0" quotePrefix="0" xfId="0">
      <alignment horizontal="center" vertical="center"/>
    </xf>
    <xf numFmtId="0" fontId="28" fillId="7" borderId="0" applyAlignment="1" pivotButton="0" quotePrefix="0" xfId="0">
      <alignment horizontal="left" vertical="center"/>
    </xf>
    <xf numFmtId="0" fontId="29" fillId="8" borderId="4" applyAlignment="1" pivotButton="0" quotePrefix="0" xfId="0">
      <alignment horizontal="left" vertical="center"/>
    </xf>
    <xf numFmtId="0" fontId="30" fillId="7" borderId="0" applyAlignment="1" pivotButton="0" quotePrefix="0" xfId="0">
      <alignment horizontal="left" vertical="center"/>
    </xf>
    <xf numFmtId="0" fontId="31" fillId="7" borderId="0" applyAlignment="1" pivotButton="0" quotePrefix="0" xfId="0">
      <alignment horizontal="general" vertical="bottom"/>
    </xf>
    <xf numFmtId="0" fontId="44" fillId="8" borderId="4" applyAlignment="1" pivotButton="0" quotePrefix="0" xfId="0">
      <alignment horizontal="center" vertical="center"/>
    </xf>
    <xf numFmtId="0" fontId="33" fillId="8" borderId="4" applyAlignment="1" pivotButton="0" quotePrefix="0" xfId="0">
      <alignment horizontal="center" vertical="center"/>
    </xf>
    <xf numFmtId="0" fontId="34" fillId="9" borderId="6" applyAlignment="1" applyProtection="1" pivotButton="0" quotePrefix="0" xfId="0">
      <alignment horizontal="center" vertical="center"/>
      <protection locked="0" hidden="0"/>
    </xf>
    <xf numFmtId="168" fontId="34" fillId="9" borderId="9" applyAlignment="1" applyProtection="1" pivotButton="0" quotePrefix="0" xfId="0">
      <alignment horizontal="center" vertical="center"/>
      <protection locked="0" hidden="0"/>
    </xf>
    <xf numFmtId="10" fontId="34" fillId="9" borderId="9" applyAlignment="1" applyProtection="1" pivotButton="0" quotePrefix="0" xfId="0">
      <alignment horizontal="center" vertical="center"/>
      <protection locked="0" hidden="0"/>
    </xf>
    <xf numFmtId="0" fontId="34" fillId="9" borderId="9" applyAlignment="1" applyProtection="1" pivotButton="0" quotePrefix="0" xfId="0">
      <alignment horizontal="center" vertical="center"/>
      <protection locked="0" hidden="0"/>
    </xf>
    <xf numFmtId="164" fontId="35" fillId="10" borderId="0" applyAlignment="1" pivotButton="0" quotePrefix="0" xfId="0">
      <alignment horizontal="center" vertical="center"/>
    </xf>
    <xf numFmtId="0" fontId="25" fillId="10" borderId="0" applyAlignment="1" pivotButton="0" quotePrefix="0" xfId="0">
      <alignment horizontal="left" vertical="center"/>
    </xf>
    <xf numFmtId="164" fontId="35" fillId="7" borderId="0" applyAlignment="1" pivotButton="0" quotePrefix="0" xfId="0">
      <alignment horizontal="center" vertical="center"/>
    </xf>
    <xf numFmtId="0" fontId="25" fillId="7" borderId="0" applyAlignment="1" pivotButton="0" quotePrefix="0" xfId="0">
      <alignment horizontal="left" vertical="center"/>
    </xf>
    <xf numFmtId="10" fontId="35" fillId="10" borderId="0" applyAlignment="1" pivotButton="0" quotePrefix="0" xfId="0">
      <alignment horizontal="center" vertical="center"/>
    </xf>
    <xf numFmtId="1" fontId="35" fillId="7" borderId="0" applyAlignment="1" pivotButton="0" quotePrefix="0" xfId="0">
      <alignment horizontal="center" vertical="center"/>
    </xf>
    <xf numFmtId="0" fontId="36" fillId="7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general" vertical="bottom"/>
    </xf>
    <xf numFmtId="0" fontId="37" fillId="8" borderId="4" applyAlignment="1" pivotButton="0" quotePrefix="0" xfId="0">
      <alignment horizontal="left" vertical="center"/>
    </xf>
    <xf numFmtId="0" fontId="33" fillId="10" borderId="0" applyAlignment="1" pivotButton="0" quotePrefix="0" xfId="0">
      <alignment horizontal="center" vertical="bottom"/>
    </xf>
    <xf numFmtId="0" fontId="44" fillId="8" borderId="4" applyAlignment="1" pivotButton="0" quotePrefix="0" xfId="0">
      <alignment horizontal="center" vertical="bottom"/>
    </xf>
    <xf numFmtId="164" fontId="4" fillId="0" borderId="0" applyAlignment="1" pivotButton="0" quotePrefix="0" xfId="0">
      <alignment horizontal="general" vertical="bottom"/>
    </xf>
    <xf numFmtId="167" fontId="4" fillId="0" borderId="0" applyAlignment="1" pivotButton="0" quotePrefix="0" xfId="0">
      <alignment horizontal="general" vertical="bottom"/>
    </xf>
    <xf numFmtId="0" fontId="4" fillId="0" borderId="10" applyAlignment="1" pivotButton="0" quotePrefix="0" xfId="0">
      <alignment horizontal="general" vertical="bottom"/>
    </xf>
    <xf numFmtId="164" fontId="4" fillId="0" borderId="10" applyAlignment="1" pivotButton="0" quotePrefix="0" xfId="0">
      <alignment horizontal="general" vertical="bottom"/>
    </xf>
    <xf numFmtId="0" fontId="24" fillId="0" borderId="10" applyAlignment="1" pivotButton="0" quotePrefix="0" xfId="0">
      <alignment horizontal="general" vertical="bottom"/>
    </xf>
    <xf numFmtId="168" fontId="4" fillId="0" borderId="10" applyAlignment="1" pivotButton="0" quotePrefix="0" xfId="0">
      <alignment horizontal="general" vertical="bottom"/>
    </xf>
    <xf numFmtId="0" fontId="24" fillId="0" borderId="0" applyAlignment="1" pivotButton="0" quotePrefix="0" xfId="0">
      <alignment horizontal="general" vertical="bottom"/>
    </xf>
    <xf numFmtId="168" fontId="4" fillId="0" borderId="0" applyAlignment="1" pivotButton="0" quotePrefix="0" xfId="0">
      <alignment horizontal="general" vertical="bottom"/>
    </xf>
    <xf numFmtId="0" fontId="41" fillId="10" borderId="0" applyAlignment="1" pivotButton="0" quotePrefix="0" xfId="0">
      <alignment horizontal="center" vertical="center"/>
    </xf>
    <xf numFmtId="0" fontId="45" fillId="8" borderId="4" applyAlignment="1" pivotButton="0" quotePrefix="0" xfId="0">
      <alignment horizontal="center" vertical="center"/>
    </xf>
    <xf numFmtId="0" fontId="22" fillId="10" borderId="0" applyAlignment="1" pivotButton="0" quotePrefix="0" xfId="0">
      <alignment horizontal="left" vertical="center" wrapText="1"/>
    </xf>
    <xf numFmtId="0" fontId="23" fillId="10" borderId="0" applyAlignment="1" pivotButton="0" quotePrefix="0" xfId="0">
      <alignment horizontal="center" vertical="center"/>
    </xf>
    <xf numFmtId="0" fontId="24" fillId="10" borderId="0" applyAlignment="1" pivotButton="0" quotePrefix="0" xfId="0">
      <alignment horizontal="left" vertical="center" wrapText="1"/>
    </xf>
    <xf numFmtId="0" fontId="23" fillId="7" borderId="0" applyAlignment="1" pivotButton="0" quotePrefix="0" xfId="0">
      <alignment horizontal="center" vertical="center"/>
    </xf>
    <xf numFmtId="0" fontId="24" fillId="7" borderId="0" applyAlignment="1" pivotButton="0" quotePrefix="0" xfId="0">
      <alignment horizontal="left" vertical="center" wrapText="1"/>
    </xf>
    <xf numFmtId="0" fontId="28" fillId="8" borderId="4" applyAlignment="1" pivotButton="0" quotePrefix="0" xfId="0">
      <alignment horizontal="center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8D5CE"/>
      <rgbColor rgb="FF878787"/>
      <rgbColor rgb="FF9999FF"/>
      <rgbColor rgb="FFC4574B"/>
      <rgbColor rgb="FFF0F5E8"/>
      <rgbColor rgb="FFE8EEEB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DF2EF"/>
      <rgbColor rgb="FFE0E2E6"/>
      <rgbColor rgb="FFF4F7F5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7280"/>
      <rgbColor rgb="FF5B7FA5"/>
      <rgbColor rgb="FF003366"/>
      <rgbColor rgb="FF2D8C6F"/>
      <rgbColor rgb="FF003300"/>
      <rgbColor rgb="FF1A1C20"/>
      <rgbColor rgb="FF993300"/>
      <rgbColor rgb="FF993366"/>
      <rgbColor rgb="FF333399"/>
      <rgbColor rgb="FF2B2D31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Snowball — Balance Over Time</a:t>
            </a:r>
          </a:p>
        </rich>
      </tx>
      <overlay val="0"/>
      <spPr>
        <a:noFill/>
        <a:ln w="0">
          <a:noFill/>
          <a:prstDash val="solid"/>
        </a:ln>
      </spPr>
    </title>
    <plotArea>
      <lineChart>
        <grouping val="standard"/>
        <varyColors val="0"/>
        <ser>
          <idx val="0"/>
          <order val="0"/>
          <tx>
            <strRef>
              <f>Snowball!CF2</f>
              <strCache>
                <ptCount val="1"/>
                <pt idx="0">
                  <v>Total Rem</v>
                </pt>
              </strCache>
            </strRef>
          </tx>
          <spPr>
            <a:solidFill>
              <a:srgbClr val="2d8c6f"/>
            </a:solidFill>
            <a:ln w="24840">
              <a:solidFill>
                <a:srgbClr val="2d8c6f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dLbls>
            <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r>
                  <a:t/>
                </a:r>
              </a:p>
            </txPr>
            <dLblPos val="r"/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Snowball!$B$4:$B$124</f>
              <strCache>
                <ptCount val="121"/>
                <pt idx="0">
                  <v>0</v>
                </pt>
                <pt idx="1">
                  <v>1</v>
                </pt>
                <pt idx="2">
                  <v>2</v>
                </pt>
                <pt idx="3">
                  <v>3</v>
                </pt>
                <pt idx="4">
                  <v>4</v>
                </pt>
                <pt idx="5">
                  <v>5</v>
                </pt>
                <pt idx="6">
                  <v>6</v>
                </pt>
                <pt idx="7">
                  <v>7</v>
                </pt>
                <pt idx="8">
                  <v>8</v>
                </pt>
                <pt idx="9">
                  <v>9</v>
                </pt>
                <pt idx="10">
                  <v>10</v>
                </pt>
                <pt idx="11">
                  <v>11</v>
                </pt>
                <pt idx="12">
                  <v>12</v>
                </pt>
                <pt idx="13">
                  <v>13</v>
                </pt>
                <pt idx="14">
                  <v>14</v>
                </pt>
                <pt idx="15">
                  <v>15</v>
                </pt>
                <pt idx="16">
                  <v>16</v>
                </pt>
                <pt idx="17">
                  <v>17</v>
                </pt>
                <pt idx="18">
                  <v>18</v>
                </pt>
                <pt idx="19">
                  <v>19</v>
                </pt>
                <pt idx="20">
                  <v>20</v>
                </pt>
                <pt idx="21">
                  <v>21</v>
                </pt>
                <pt idx="22">
                  <v>22</v>
                </pt>
                <pt idx="23">
                  <v>23</v>
                </pt>
                <pt idx="24">
                  <v>24</v>
                </pt>
                <pt idx="25">
                  <v>25</v>
                </pt>
                <pt idx="26">
                  <v>26</v>
                </pt>
                <pt idx="27">
                  <v>27</v>
                </pt>
                <pt idx="28">
                  <v>28</v>
                </pt>
                <pt idx="29">
                  <v>29</v>
                </pt>
                <pt idx="30">
                  <v>30</v>
                </pt>
                <pt idx="31">
                  <v>31</v>
                </pt>
                <pt idx="32">
                  <v>32</v>
                </pt>
                <pt idx="33">
                  <v>33</v>
                </pt>
                <pt idx="34">
                  <v>34</v>
                </pt>
                <pt idx="35">
                  <v>35</v>
                </pt>
                <pt idx="36">
                  <v>36</v>
                </pt>
                <pt idx="37">
                  <v>37</v>
                </pt>
                <pt idx="38">
                  <v>38</v>
                </pt>
                <pt idx="39">
                  <v>39</v>
                </pt>
                <pt idx="40">
                  <v>40</v>
                </pt>
                <pt idx="41">
                  <v>41</v>
                </pt>
                <pt idx="42">
                  <v>42</v>
                </pt>
                <pt idx="43">
                  <v>43</v>
                </pt>
                <pt idx="44">
                  <v>44</v>
                </pt>
                <pt idx="45">
                  <v>45</v>
                </pt>
                <pt idx="46">
                  <v>46</v>
                </pt>
                <pt idx="47">
                  <v>47</v>
                </pt>
                <pt idx="48">
                  <v>48</v>
                </pt>
                <pt idx="49">
                  <v>49</v>
                </pt>
                <pt idx="50">
                  <v>50</v>
                </pt>
                <pt idx="51">
                  <v>51</v>
                </pt>
                <pt idx="52">
                  <v>52</v>
                </pt>
                <pt idx="53">
                  <v>53</v>
                </pt>
                <pt idx="54">
                  <v>54</v>
                </pt>
                <pt idx="55">
                  <v>55</v>
                </pt>
                <pt idx="56">
                  <v>56</v>
                </pt>
                <pt idx="57">
                  <v>57</v>
                </pt>
                <pt idx="58">
                  <v>58</v>
                </pt>
                <pt idx="59">
                  <v>59</v>
                </pt>
                <pt idx="60">
                  <v>60</v>
                </pt>
                <pt idx="61">
                  <v>61</v>
                </pt>
                <pt idx="62">
                  <v>62</v>
                </pt>
                <pt idx="63">
                  <v>63</v>
                </pt>
                <pt idx="64">
                  <v>64</v>
                </pt>
                <pt idx="65">
                  <v>65</v>
                </pt>
                <pt idx="66">
                  <v>66</v>
                </pt>
                <pt idx="67">
                  <v>67</v>
                </pt>
                <pt idx="68">
                  <v>68</v>
                </pt>
                <pt idx="69">
                  <v>69</v>
                </pt>
                <pt idx="70">
                  <v>70</v>
                </pt>
                <pt idx="71">
                  <v>71</v>
                </pt>
                <pt idx="72">
                  <v>72</v>
                </pt>
                <pt idx="73">
                  <v>73</v>
                </pt>
                <pt idx="74">
                  <v>74</v>
                </pt>
                <pt idx="75">
                  <v>75</v>
                </pt>
                <pt idx="76">
                  <v>76</v>
                </pt>
                <pt idx="77">
                  <v>77</v>
                </pt>
                <pt idx="78">
                  <v>78</v>
                </pt>
                <pt idx="79">
                  <v>79</v>
                </pt>
                <pt idx="80">
                  <v>80</v>
                </pt>
                <pt idx="81">
                  <v>81</v>
                </pt>
                <pt idx="82">
                  <v>82</v>
                </pt>
                <pt idx="83">
                  <v>83</v>
                </pt>
                <pt idx="84">
                  <v>84</v>
                </pt>
                <pt idx="85">
                  <v>85</v>
                </pt>
                <pt idx="86">
                  <v>86</v>
                </pt>
                <pt idx="87">
                  <v>87</v>
                </pt>
                <pt idx="88">
                  <v>88</v>
                </pt>
                <pt idx="89">
                  <v>89</v>
                </pt>
                <pt idx="90">
                  <v>90</v>
                </pt>
                <pt idx="91">
                  <v>91</v>
                </pt>
                <pt idx="92">
                  <v>92</v>
                </pt>
                <pt idx="93">
                  <v>93</v>
                </pt>
                <pt idx="94">
                  <v>94</v>
                </pt>
                <pt idx="95">
                  <v>95</v>
                </pt>
                <pt idx="96">
                  <v>96</v>
                </pt>
                <pt idx="97">
                  <v>97</v>
                </pt>
                <pt idx="98">
                  <v>98</v>
                </pt>
                <pt idx="99">
                  <v>99</v>
                </pt>
                <pt idx="100">
                  <v>100</v>
                </pt>
                <pt idx="101">
                  <v>101</v>
                </pt>
                <pt idx="102">
                  <v>102</v>
                </pt>
                <pt idx="103">
                  <v>103</v>
                </pt>
                <pt idx="104">
                  <v>104</v>
                </pt>
                <pt idx="105">
                  <v>105</v>
                </pt>
                <pt idx="106">
                  <v>106</v>
                </pt>
                <pt idx="107">
                  <v>107</v>
                </pt>
                <pt idx="108">
                  <v>108</v>
                </pt>
                <pt idx="109">
                  <v>109</v>
                </pt>
                <pt idx="110">
                  <v>110</v>
                </pt>
                <pt idx="111">
                  <v>111</v>
                </pt>
                <pt idx="112">
                  <v>112</v>
                </pt>
                <pt idx="113">
                  <v>113</v>
                </pt>
                <pt idx="114">
                  <v>114</v>
                </pt>
                <pt idx="115">
                  <v>115</v>
                </pt>
                <pt idx="116">
                  <v>116</v>
                </pt>
                <pt idx="117">
                  <v>117</v>
                </pt>
                <pt idx="118">
                  <v>118</v>
                </pt>
                <pt idx="119">
                  <v>119</v>
                </pt>
                <pt idx="120">
                  <v>120</v>
                </pt>
              </strCache>
            </strRef>
          </cat>
          <val>
            <numRef>
              <f>Snowball!$CF$3:$CF$124</f>
              <numCache>
                <formatCode>\$#,##0</formatCode>
                <ptCount val="122"/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  <pt idx="40">
                  <v>0</v>
                </pt>
                <pt idx="41">
                  <v>0</v>
                </pt>
                <pt idx="42">
                  <v>0</v>
                </pt>
                <pt idx="43">
                  <v>0</v>
                </pt>
                <pt idx="44">
                  <v>0</v>
                </pt>
                <pt idx="45">
                  <v>0</v>
                </pt>
                <pt idx="46">
                  <v>0</v>
                </pt>
                <pt idx="47">
                  <v>0</v>
                </pt>
                <pt idx="48">
                  <v>0</v>
                </pt>
                <pt idx="49">
                  <v>0</v>
                </pt>
                <pt idx="50">
                  <v>0</v>
                </pt>
                <pt idx="51">
                  <v>0</v>
                </pt>
                <pt idx="52">
                  <v>0</v>
                </pt>
                <pt idx="53">
                  <v>0</v>
                </pt>
                <pt idx="54">
                  <v>0</v>
                </pt>
                <pt idx="55">
                  <v>0</v>
                </pt>
                <pt idx="56">
                  <v>0</v>
                </pt>
                <pt idx="57">
                  <v>0</v>
                </pt>
                <pt idx="58">
                  <v>0</v>
                </pt>
                <pt idx="59">
                  <v>0</v>
                </pt>
                <pt idx="60">
                  <v>0</v>
                </pt>
                <pt idx="61">
                  <v>0</v>
                </pt>
                <pt idx="62">
                  <v>0</v>
                </pt>
                <pt idx="63">
                  <v>0</v>
                </pt>
                <pt idx="64">
                  <v>0</v>
                </pt>
                <pt idx="65">
                  <v>0</v>
                </pt>
                <pt idx="66">
                  <v>0</v>
                </pt>
                <pt idx="67">
                  <v>0</v>
                </pt>
                <pt idx="68">
                  <v>0</v>
                </pt>
                <pt idx="69">
                  <v>0</v>
                </pt>
                <pt idx="70">
                  <v>0</v>
                </pt>
                <pt idx="71">
                  <v>0</v>
                </pt>
                <pt idx="72">
                  <v>0</v>
                </pt>
                <pt idx="73">
                  <v>0</v>
                </pt>
                <pt idx="74">
                  <v>0</v>
                </pt>
                <pt idx="75">
                  <v>0</v>
                </pt>
                <pt idx="76">
                  <v>0</v>
                </pt>
                <pt idx="77">
                  <v>0</v>
                </pt>
                <pt idx="78">
                  <v>0</v>
                </pt>
                <pt idx="79">
                  <v>0</v>
                </pt>
                <pt idx="80">
                  <v>0</v>
                </pt>
                <pt idx="81">
                  <v>0</v>
                </pt>
                <pt idx="82">
                  <v>0</v>
                </pt>
                <pt idx="83">
                  <v>0</v>
                </pt>
                <pt idx="84">
                  <v>0</v>
                </pt>
                <pt idx="85">
                  <v>0</v>
                </pt>
                <pt idx="86">
                  <v>0</v>
                </pt>
                <pt idx="87">
                  <v>0</v>
                </pt>
                <pt idx="88">
                  <v>0</v>
                </pt>
                <pt idx="89">
                  <v>0</v>
                </pt>
                <pt idx="90">
                  <v>0</v>
                </pt>
                <pt idx="91">
                  <v>0</v>
                </pt>
                <pt idx="92">
                  <v>0</v>
                </pt>
                <pt idx="93">
                  <v>0</v>
                </pt>
                <pt idx="94">
                  <v>0</v>
                </pt>
                <pt idx="95">
                  <v>0</v>
                </pt>
                <pt idx="96">
                  <v>0</v>
                </pt>
                <pt idx="97">
                  <v>0</v>
                </pt>
                <pt idx="98">
                  <v>0</v>
                </pt>
                <pt idx="99">
                  <v>0</v>
                </pt>
                <pt idx="100">
                  <v>0</v>
                </pt>
                <pt idx="101">
                  <v>0</v>
                </pt>
                <pt idx="102">
                  <v>0</v>
                </pt>
                <pt idx="103">
                  <v>0</v>
                </pt>
                <pt idx="104">
                  <v>0</v>
                </pt>
                <pt idx="105">
                  <v>0</v>
                </pt>
                <pt idx="106">
                  <v>0</v>
                </pt>
                <pt idx="107">
                  <v>0</v>
                </pt>
                <pt idx="108">
                  <v>0</v>
                </pt>
                <pt idx="109">
                  <v>0</v>
                </pt>
                <pt idx="110">
                  <v>0</v>
                </pt>
                <pt idx="111">
                  <v>0</v>
                </pt>
                <pt idx="112">
                  <v>0</v>
                </pt>
                <pt idx="113">
                  <v>0</v>
                </pt>
                <pt idx="114">
                  <v>0</v>
                </pt>
                <pt idx="115">
                  <v>0</v>
                </pt>
                <pt idx="116">
                  <v>0</v>
                </pt>
                <pt idx="117">
                  <v>0</v>
                </pt>
                <pt idx="118">
                  <v>0</v>
                </pt>
                <pt idx="119">
                  <v>0</v>
                </pt>
                <pt idx="120">
                  <v>0</v>
                </pt>
                <pt idx="121">
                  <v>0</v>
                </pt>
              </numCache>
            </numRef>
          </val>
          <smooth val="1"/>
        </ser>
        <hiLowLines>
          <spPr>
            <a:ln w="0">
              <a:noFill/>
              <a:prstDash val="solid"/>
            </a:ln>
          </spPr>
        </hiLowLines>
        <marker val="0"/>
        <axId val="85888380"/>
        <axId val="56187177"/>
      </lineChart>
      <catAx>
        <axId val="85888380"/>
        <scaling>
          <orientation val="minMax"/>
        </scaling>
        <delete val="0"/>
        <axPos val="b"/>
        <title>
          <tx>
            <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rich>
          </tx>
          <overlay val="0"/>
          <spPr>
            <a:noFill/>
            <a:ln w="0">
              <a:noFill/>
              <a:prstDash val="solid"/>
            </a:ln>
          </spPr>
        </title>
        <numFmt formatCode="General" sourceLinked="0"/>
        <majorTickMark val="none"/>
        <minorTickMark val="none"/>
        <tickLblPos val="nextTo"/>
        <spPr>
          <a:ln w="9360">
            <a:solidFill>
              <a:srgbClr val="878787"/>
            </a:solidFill>
            <a:prstDash val="solid"/>
            <a:round/>
          </a:ln>
        </spPr>
        <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56187177"/>
        <crosses val="autoZero"/>
        <auto val="1"/>
        <lblAlgn val="ctr"/>
        <lblOffset val="100"/>
        <noMultiLvlLbl val="0"/>
      </catAx>
      <valAx>
        <axId val="56187177"/>
        <scaling>
          <orientation val="minMax"/>
        </scaling>
        <delete val="0"/>
        <axPos val="l"/>
        <majorGridlines>
          <spPr>
            <a:ln w="9360">
              <a:solidFill>
                <a:srgbClr val="878787"/>
              </a:solidFill>
              <a:prstDash val="solid"/>
              <a:round/>
            </a:ln>
          </spPr>
        </majorGridlines>
        <title>
          <tx>
            <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Balance</a:t>
                </a:r>
              </a:p>
            </rich>
          </tx>
          <overlay val="0"/>
          <spPr>
            <a:noFill/>
            <a:ln w="0">
              <a:noFill/>
              <a:prstDash val="solid"/>
            </a:ln>
          </spPr>
        </title>
        <numFmt formatCode="\$#,##0" sourceLinked="0"/>
        <majorTickMark val="none"/>
        <minorTickMark val="none"/>
        <tickLblPos val="nextTo"/>
        <spPr>
          <a:ln w="9360">
            <a:solidFill>
              <a:srgbClr val="878787"/>
            </a:solidFill>
            <a:prstDash val="solid"/>
            <a:round/>
          </a:ln>
        </spPr>
        <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85888380"/>
        <crosses val="autoZero"/>
        <crossBetween val="between"/>
      </valAx>
    </plotArea>
    <plotVisOnly val="1"/>
    <dispBlanksAs val="gap"/>
  </chart>
  <spPr>
    <a:solidFill>
      <a:srgbClr val="ffffff"/>
    </a:solidFill>
    <a:ln w="9360">
      <a:solidFill>
        <a:srgbClr val="d9d9d9"/>
      </a:solidFill>
      <a:prstDash val="solid"/>
      <a:round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Avalanche — Balance Over Time</a:t>
            </a:r>
          </a:p>
        </rich>
      </tx>
      <overlay val="0"/>
      <spPr>
        <a:noFill/>
        <a:ln w="0">
          <a:noFill/>
          <a:prstDash val="solid"/>
        </a:ln>
      </spPr>
    </title>
    <plotArea>
      <lineChart>
        <grouping val="standard"/>
        <varyColors val="0"/>
        <ser>
          <idx val="0"/>
          <order val="0"/>
          <tx>
            <strRef>
              <f>Avalanche!CF2</f>
              <strCache>
                <ptCount val="1"/>
                <pt idx="0">
                  <v>Total Rem</v>
                </pt>
              </strCache>
            </strRef>
          </tx>
          <spPr>
            <a:solidFill>
              <a:srgbClr val="2d8c6f"/>
            </a:solidFill>
            <a:ln w="24840">
              <a:solidFill>
                <a:srgbClr val="2d8c6f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dLbls>
            <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r>
                  <a:t/>
                </a:r>
              </a:p>
            </txPr>
            <dLblPos val="r"/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Avalanche!$B$4:$B$124</f>
              <strCache>
                <ptCount val="121"/>
                <pt idx="0">
                  <v>0</v>
                </pt>
                <pt idx="1">
                  <v>1</v>
                </pt>
                <pt idx="2">
                  <v>2</v>
                </pt>
                <pt idx="3">
                  <v>3</v>
                </pt>
                <pt idx="4">
                  <v>4</v>
                </pt>
                <pt idx="5">
                  <v>5</v>
                </pt>
                <pt idx="6">
                  <v>6</v>
                </pt>
                <pt idx="7">
                  <v>7</v>
                </pt>
                <pt idx="8">
                  <v>8</v>
                </pt>
                <pt idx="9">
                  <v>9</v>
                </pt>
                <pt idx="10">
                  <v>10</v>
                </pt>
                <pt idx="11">
                  <v>11</v>
                </pt>
                <pt idx="12">
                  <v>12</v>
                </pt>
                <pt idx="13">
                  <v>13</v>
                </pt>
                <pt idx="14">
                  <v>14</v>
                </pt>
                <pt idx="15">
                  <v>15</v>
                </pt>
                <pt idx="16">
                  <v>16</v>
                </pt>
                <pt idx="17">
                  <v>17</v>
                </pt>
                <pt idx="18">
                  <v>18</v>
                </pt>
                <pt idx="19">
                  <v>19</v>
                </pt>
                <pt idx="20">
                  <v>20</v>
                </pt>
                <pt idx="21">
                  <v>21</v>
                </pt>
                <pt idx="22">
                  <v>22</v>
                </pt>
                <pt idx="23">
                  <v>23</v>
                </pt>
                <pt idx="24">
                  <v>24</v>
                </pt>
                <pt idx="25">
                  <v>25</v>
                </pt>
                <pt idx="26">
                  <v>26</v>
                </pt>
                <pt idx="27">
                  <v>27</v>
                </pt>
                <pt idx="28">
                  <v>28</v>
                </pt>
                <pt idx="29">
                  <v>29</v>
                </pt>
                <pt idx="30">
                  <v>30</v>
                </pt>
                <pt idx="31">
                  <v>31</v>
                </pt>
                <pt idx="32">
                  <v>32</v>
                </pt>
                <pt idx="33">
                  <v>33</v>
                </pt>
                <pt idx="34">
                  <v>34</v>
                </pt>
                <pt idx="35">
                  <v>35</v>
                </pt>
                <pt idx="36">
                  <v>36</v>
                </pt>
                <pt idx="37">
                  <v>37</v>
                </pt>
                <pt idx="38">
                  <v>38</v>
                </pt>
                <pt idx="39">
                  <v>39</v>
                </pt>
                <pt idx="40">
                  <v>40</v>
                </pt>
                <pt idx="41">
                  <v>41</v>
                </pt>
                <pt idx="42">
                  <v>42</v>
                </pt>
                <pt idx="43">
                  <v>43</v>
                </pt>
                <pt idx="44">
                  <v>44</v>
                </pt>
                <pt idx="45">
                  <v>45</v>
                </pt>
                <pt idx="46">
                  <v>46</v>
                </pt>
                <pt idx="47">
                  <v>47</v>
                </pt>
                <pt idx="48">
                  <v>48</v>
                </pt>
                <pt idx="49">
                  <v>49</v>
                </pt>
                <pt idx="50">
                  <v>50</v>
                </pt>
                <pt idx="51">
                  <v>51</v>
                </pt>
                <pt idx="52">
                  <v>52</v>
                </pt>
                <pt idx="53">
                  <v>53</v>
                </pt>
                <pt idx="54">
                  <v>54</v>
                </pt>
                <pt idx="55">
                  <v>55</v>
                </pt>
                <pt idx="56">
                  <v>56</v>
                </pt>
                <pt idx="57">
                  <v>57</v>
                </pt>
                <pt idx="58">
                  <v>58</v>
                </pt>
                <pt idx="59">
                  <v>59</v>
                </pt>
                <pt idx="60">
                  <v>60</v>
                </pt>
                <pt idx="61">
                  <v>61</v>
                </pt>
                <pt idx="62">
                  <v>62</v>
                </pt>
                <pt idx="63">
                  <v>63</v>
                </pt>
                <pt idx="64">
                  <v>64</v>
                </pt>
                <pt idx="65">
                  <v>65</v>
                </pt>
                <pt idx="66">
                  <v>66</v>
                </pt>
                <pt idx="67">
                  <v>67</v>
                </pt>
                <pt idx="68">
                  <v>68</v>
                </pt>
                <pt idx="69">
                  <v>69</v>
                </pt>
                <pt idx="70">
                  <v>70</v>
                </pt>
                <pt idx="71">
                  <v>71</v>
                </pt>
                <pt idx="72">
                  <v>72</v>
                </pt>
                <pt idx="73">
                  <v>73</v>
                </pt>
                <pt idx="74">
                  <v>74</v>
                </pt>
                <pt idx="75">
                  <v>75</v>
                </pt>
                <pt idx="76">
                  <v>76</v>
                </pt>
                <pt idx="77">
                  <v>77</v>
                </pt>
                <pt idx="78">
                  <v>78</v>
                </pt>
                <pt idx="79">
                  <v>79</v>
                </pt>
                <pt idx="80">
                  <v>80</v>
                </pt>
                <pt idx="81">
                  <v>81</v>
                </pt>
                <pt idx="82">
                  <v>82</v>
                </pt>
                <pt idx="83">
                  <v>83</v>
                </pt>
                <pt idx="84">
                  <v>84</v>
                </pt>
                <pt idx="85">
                  <v>85</v>
                </pt>
                <pt idx="86">
                  <v>86</v>
                </pt>
                <pt idx="87">
                  <v>87</v>
                </pt>
                <pt idx="88">
                  <v>88</v>
                </pt>
                <pt idx="89">
                  <v>89</v>
                </pt>
                <pt idx="90">
                  <v>90</v>
                </pt>
                <pt idx="91">
                  <v>91</v>
                </pt>
                <pt idx="92">
                  <v>92</v>
                </pt>
                <pt idx="93">
                  <v>93</v>
                </pt>
                <pt idx="94">
                  <v>94</v>
                </pt>
                <pt idx="95">
                  <v>95</v>
                </pt>
                <pt idx="96">
                  <v>96</v>
                </pt>
                <pt idx="97">
                  <v>97</v>
                </pt>
                <pt idx="98">
                  <v>98</v>
                </pt>
                <pt idx="99">
                  <v>99</v>
                </pt>
                <pt idx="100">
                  <v>100</v>
                </pt>
                <pt idx="101">
                  <v>101</v>
                </pt>
                <pt idx="102">
                  <v>102</v>
                </pt>
                <pt idx="103">
                  <v>103</v>
                </pt>
                <pt idx="104">
                  <v>104</v>
                </pt>
                <pt idx="105">
                  <v>105</v>
                </pt>
                <pt idx="106">
                  <v>106</v>
                </pt>
                <pt idx="107">
                  <v>107</v>
                </pt>
                <pt idx="108">
                  <v>108</v>
                </pt>
                <pt idx="109">
                  <v>109</v>
                </pt>
                <pt idx="110">
                  <v>110</v>
                </pt>
                <pt idx="111">
                  <v>111</v>
                </pt>
                <pt idx="112">
                  <v>112</v>
                </pt>
                <pt idx="113">
                  <v>113</v>
                </pt>
                <pt idx="114">
                  <v>114</v>
                </pt>
                <pt idx="115">
                  <v>115</v>
                </pt>
                <pt idx="116">
                  <v>116</v>
                </pt>
                <pt idx="117">
                  <v>117</v>
                </pt>
                <pt idx="118">
                  <v>118</v>
                </pt>
                <pt idx="119">
                  <v>119</v>
                </pt>
                <pt idx="120">
                  <v>120</v>
                </pt>
              </strCache>
            </strRef>
          </cat>
          <val>
            <numRef>
              <f>Avalanche!$CF$3:$CF$124</f>
              <numCache>
                <formatCode>\$#,##0</formatCode>
                <ptCount val="122"/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  <pt idx="40">
                  <v>0</v>
                </pt>
                <pt idx="41">
                  <v>0</v>
                </pt>
                <pt idx="42">
                  <v>0</v>
                </pt>
                <pt idx="43">
                  <v>0</v>
                </pt>
                <pt idx="44">
                  <v>0</v>
                </pt>
                <pt idx="45">
                  <v>0</v>
                </pt>
                <pt idx="46">
                  <v>0</v>
                </pt>
                <pt idx="47">
                  <v>0</v>
                </pt>
                <pt idx="48">
                  <v>0</v>
                </pt>
                <pt idx="49">
                  <v>0</v>
                </pt>
                <pt idx="50">
                  <v>0</v>
                </pt>
                <pt idx="51">
                  <v>0</v>
                </pt>
                <pt idx="52">
                  <v>0</v>
                </pt>
                <pt idx="53">
                  <v>0</v>
                </pt>
                <pt idx="54">
                  <v>0</v>
                </pt>
                <pt idx="55">
                  <v>0</v>
                </pt>
                <pt idx="56">
                  <v>0</v>
                </pt>
                <pt idx="57">
                  <v>0</v>
                </pt>
                <pt idx="58">
                  <v>0</v>
                </pt>
                <pt idx="59">
                  <v>0</v>
                </pt>
                <pt idx="60">
                  <v>0</v>
                </pt>
                <pt idx="61">
                  <v>0</v>
                </pt>
                <pt idx="62">
                  <v>0</v>
                </pt>
                <pt idx="63">
                  <v>0</v>
                </pt>
                <pt idx="64">
                  <v>0</v>
                </pt>
                <pt idx="65">
                  <v>0</v>
                </pt>
                <pt idx="66">
                  <v>0</v>
                </pt>
                <pt idx="67">
                  <v>0</v>
                </pt>
                <pt idx="68">
                  <v>0</v>
                </pt>
                <pt idx="69">
                  <v>0</v>
                </pt>
                <pt idx="70">
                  <v>0</v>
                </pt>
                <pt idx="71">
                  <v>0</v>
                </pt>
                <pt idx="72">
                  <v>0</v>
                </pt>
                <pt idx="73">
                  <v>0</v>
                </pt>
                <pt idx="74">
                  <v>0</v>
                </pt>
                <pt idx="75">
                  <v>0</v>
                </pt>
                <pt idx="76">
                  <v>0</v>
                </pt>
                <pt idx="77">
                  <v>0</v>
                </pt>
                <pt idx="78">
                  <v>0</v>
                </pt>
                <pt idx="79">
                  <v>0</v>
                </pt>
                <pt idx="80">
                  <v>0</v>
                </pt>
                <pt idx="81">
                  <v>0</v>
                </pt>
                <pt idx="82">
                  <v>0</v>
                </pt>
                <pt idx="83">
                  <v>0</v>
                </pt>
                <pt idx="84">
                  <v>0</v>
                </pt>
                <pt idx="85">
                  <v>0</v>
                </pt>
                <pt idx="86">
                  <v>0</v>
                </pt>
                <pt idx="87">
                  <v>0</v>
                </pt>
                <pt idx="88">
                  <v>0</v>
                </pt>
                <pt idx="89">
                  <v>0</v>
                </pt>
                <pt idx="90">
                  <v>0</v>
                </pt>
                <pt idx="91">
                  <v>0</v>
                </pt>
                <pt idx="92">
                  <v>0</v>
                </pt>
                <pt idx="93">
                  <v>0</v>
                </pt>
                <pt idx="94">
                  <v>0</v>
                </pt>
                <pt idx="95">
                  <v>0</v>
                </pt>
                <pt idx="96">
                  <v>0</v>
                </pt>
                <pt idx="97">
                  <v>0</v>
                </pt>
                <pt idx="98">
                  <v>0</v>
                </pt>
                <pt idx="99">
                  <v>0</v>
                </pt>
                <pt idx="100">
                  <v>0</v>
                </pt>
                <pt idx="101">
                  <v>0</v>
                </pt>
                <pt idx="102">
                  <v>0</v>
                </pt>
                <pt idx="103">
                  <v>0</v>
                </pt>
                <pt idx="104">
                  <v>0</v>
                </pt>
                <pt idx="105">
                  <v>0</v>
                </pt>
                <pt idx="106">
                  <v>0</v>
                </pt>
                <pt idx="107">
                  <v>0</v>
                </pt>
                <pt idx="108">
                  <v>0</v>
                </pt>
                <pt idx="109">
                  <v>0</v>
                </pt>
                <pt idx="110">
                  <v>0</v>
                </pt>
                <pt idx="111">
                  <v>0</v>
                </pt>
                <pt idx="112">
                  <v>0</v>
                </pt>
                <pt idx="113">
                  <v>0</v>
                </pt>
                <pt idx="114">
                  <v>0</v>
                </pt>
                <pt idx="115">
                  <v>0</v>
                </pt>
                <pt idx="116">
                  <v>0</v>
                </pt>
                <pt idx="117">
                  <v>0</v>
                </pt>
                <pt idx="118">
                  <v>0</v>
                </pt>
                <pt idx="119">
                  <v>0</v>
                </pt>
                <pt idx="120">
                  <v>0</v>
                </pt>
                <pt idx="121">
                  <v>0</v>
                </pt>
              </numCache>
            </numRef>
          </val>
          <smooth val="1"/>
        </ser>
        <hiLowLines>
          <spPr>
            <a:ln w="0">
              <a:noFill/>
              <a:prstDash val="solid"/>
            </a:ln>
          </spPr>
        </hiLowLines>
        <marker val="0"/>
        <axId val="10914896"/>
        <axId val="4920022"/>
      </lineChart>
      <catAx>
        <axId val="10914896"/>
        <scaling>
          <orientation val="minMax"/>
        </scaling>
        <delete val="0"/>
        <axPos val="b"/>
        <title>
          <tx>
            <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rich>
          </tx>
          <overlay val="0"/>
          <spPr>
            <a:noFill/>
            <a:ln w="0">
              <a:noFill/>
              <a:prstDash val="solid"/>
            </a:ln>
          </spPr>
        </title>
        <numFmt formatCode="General" sourceLinked="0"/>
        <majorTickMark val="none"/>
        <minorTickMark val="none"/>
        <tickLblPos val="nextTo"/>
        <spPr>
          <a:ln w="9360">
            <a:solidFill>
              <a:srgbClr val="878787"/>
            </a:solidFill>
            <a:prstDash val="solid"/>
            <a:round/>
          </a:ln>
        </spPr>
        <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4920022"/>
        <crosses val="autoZero"/>
        <auto val="1"/>
        <lblAlgn val="ctr"/>
        <lblOffset val="100"/>
        <noMultiLvlLbl val="0"/>
      </catAx>
      <valAx>
        <axId val="4920022"/>
        <scaling>
          <orientation val="minMax"/>
        </scaling>
        <delete val="0"/>
        <axPos val="l"/>
        <majorGridlines>
          <spPr>
            <a:ln w="9360">
              <a:solidFill>
                <a:srgbClr val="878787"/>
              </a:solidFill>
              <a:prstDash val="solid"/>
              <a:round/>
            </a:ln>
          </spPr>
        </majorGridlines>
        <title>
          <tx>
            <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Balance</a:t>
                </a:r>
              </a:p>
            </rich>
          </tx>
          <overlay val="0"/>
          <spPr>
            <a:noFill/>
            <a:ln w="0">
              <a:noFill/>
              <a:prstDash val="solid"/>
            </a:ln>
          </spPr>
        </title>
        <numFmt formatCode="\$#,##0" sourceLinked="0"/>
        <majorTickMark val="none"/>
        <minorTickMark val="none"/>
        <tickLblPos val="nextTo"/>
        <spPr>
          <a:ln w="9360">
            <a:solidFill>
              <a:srgbClr val="878787"/>
            </a:solidFill>
            <a:prstDash val="solid"/>
            <a:round/>
          </a:ln>
        </spPr>
        <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10914896"/>
        <crosses val="autoZero"/>
        <crossBetween val="between"/>
      </valAx>
    </plotArea>
    <plotVisOnly val="1"/>
    <dispBlanksAs val="gap"/>
  </chart>
  <spPr>
    <a:solidFill>
      <a:srgbClr val="ffffff"/>
    </a:solidFill>
    <a:ln w="9360">
      <a:solidFill>
        <a:srgbClr val="d9d9d9"/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 editAs="oneCell">
    <from>
      <col>1</col>
      <colOff>0</colOff>
      <row>126</row>
      <rowOff>0</rowOff>
    </from>
    <to>
      <col>15</col>
      <colOff>83160</colOff>
      <row>154</row>
      <rowOff>63000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 editAs="oneCell">
    <from>
      <col>1</col>
      <colOff>0</colOff>
      <row>126</row>
      <rowOff>0</rowOff>
    </from>
    <to>
      <col>15</col>
      <colOff>83160</colOff>
      <row>154</row>
      <rowOff>63000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 filterMode="0">
    <tabColor rgb="002D8C6F"/>
    <outlinePr summaryBelow="1" summaryRight="1"/>
    <pageSetUpPr fitToPage="0"/>
  </sheetPr>
  <dimension ref="A1:O70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" customWidth="1" style="82" min="1" max="1"/>
    <col width="5" customWidth="1" style="82" min="2" max="2"/>
    <col width="18" customWidth="1" style="82" min="3" max="4"/>
    <col width="4" customWidth="1" style="82" min="5" max="5"/>
    <col width="18" customWidth="1" style="82" min="6" max="7"/>
    <col width="4" customWidth="1" style="82" min="8" max="8"/>
    <col width="18" customWidth="1" style="82" min="9" max="10"/>
    <col width="4" customWidth="1" style="82" min="11" max="11"/>
    <col width="18" customWidth="1" style="82" min="12" max="13"/>
    <col width="3" customWidth="1" style="82" min="14" max="15"/>
  </cols>
  <sheetData>
    <row r="1" ht="15" customHeight="1" s="83">
      <c r="A1" s="84" t="n"/>
      <c r="B1" s="84" t="n"/>
      <c r="C1" s="84" t="n"/>
      <c r="D1" s="84" t="n"/>
      <c r="E1" s="84" t="n"/>
      <c r="F1" s="84" t="n"/>
      <c r="G1" s="84" t="n"/>
      <c r="H1" s="84" t="n"/>
      <c r="I1" s="84" t="n"/>
      <c r="J1" s="84" t="n"/>
      <c r="K1" s="84" t="n"/>
      <c r="L1" s="84" t="n"/>
      <c r="M1" s="84" t="n"/>
      <c r="N1" s="84" t="n"/>
      <c r="O1" s="84" t="n"/>
    </row>
    <row r="2" ht="43.5" customHeight="1" s="83">
      <c r="A2" s="84" t="n"/>
      <c r="B2" s="85" t="n"/>
      <c r="C2" s="86" t="inlineStr">
        <is>
          <t>DEBT PAYOFF TRACKER</t>
        </is>
      </c>
      <c r="I2" s="85" t="n"/>
      <c r="J2" s="85" t="n"/>
      <c r="K2" s="85" t="n"/>
      <c r="L2" s="87" t="inlineStr">
        <is>
          <t>StackedSheets</t>
        </is>
      </c>
      <c r="N2" s="85" t="n"/>
      <c r="O2" s="84" t="n"/>
    </row>
    <row r="3" ht="15" customHeight="1" s="83">
      <c r="A3" s="84" t="n"/>
      <c r="B3" s="84" t="n"/>
      <c r="C3" s="84" t="n"/>
      <c r="D3" s="84" t="n"/>
      <c r="E3" s="84" t="n"/>
      <c r="F3" s="84" t="n"/>
      <c r="G3" s="84" t="n"/>
      <c r="H3" s="84" t="n"/>
      <c r="I3" s="84" t="n"/>
      <c r="J3" s="84" t="n"/>
      <c r="K3" s="84" t="n"/>
      <c r="L3" s="84" t="n"/>
      <c r="M3" s="84" t="n"/>
      <c r="N3" s="84" t="n"/>
      <c r="O3" s="84" t="n"/>
    </row>
    <row r="4" ht="24" customHeight="1" s="83">
      <c r="A4" s="84" t="n"/>
      <c r="B4" s="84" t="n"/>
      <c r="C4" s="88" t="inlineStr">
        <is>
          <t>━━  PAYOFF METHOD  ━━</t>
        </is>
      </c>
      <c r="E4" s="84" t="n"/>
      <c r="F4" s="88" t="inlineStr">
        <is>
          <t>━━  EXTRA / MONTH  ━━</t>
        </is>
      </c>
      <c r="H4" s="84" t="n"/>
      <c r="I4" s="84" t="n"/>
      <c r="J4" s="84" t="n"/>
      <c r="K4" s="84" t="n"/>
      <c r="L4" s="84" t="n"/>
      <c r="M4" s="84" t="n"/>
      <c r="N4" s="84" t="n"/>
      <c r="O4" s="84" t="n"/>
    </row>
    <row r="5" ht="33.75" customHeight="1" s="83">
      <c r="A5" s="84" t="n"/>
      <c r="B5" s="84" t="n"/>
      <c r="C5" s="89" t="inlineStr">
        <is>
          <t>Snowball</t>
        </is>
      </c>
      <c r="D5" s="90" t="n"/>
      <c r="E5" s="84" t="n"/>
      <c r="F5" s="91" t="n">
        <v>200</v>
      </c>
      <c r="G5" s="90" t="n"/>
      <c r="H5" s="84" t="n"/>
      <c r="I5" s="84" t="n"/>
      <c r="J5" s="84" t="n"/>
      <c r="K5" s="84" t="n"/>
      <c r="L5" s="84" t="n"/>
      <c r="M5" s="84" t="n"/>
      <c r="N5" s="84" t="n"/>
      <c r="O5" s="84" t="n"/>
    </row>
    <row r="6" ht="15.75" customHeight="1" s="83">
      <c r="A6" s="84" t="n"/>
      <c r="B6" s="84" t="n"/>
      <c r="C6" s="84" t="n"/>
      <c r="D6" s="84" t="n"/>
      <c r="E6" s="84" t="n"/>
      <c r="F6" s="84" t="n"/>
      <c r="G6" s="84" t="n"/>
      <c r="H6" s="84" t="n"/>
      <c r="I6" s="92" t="inlineStr">
        <is>
          <t>🟢 = your input</t>
        </is>
      </c>
      <c r="J6" s="84" t="n"/>
      <c r="K6" s="93" t="inlineStr">
        <is>
          <t>■ = auto-calculated</t>
        </is>
      </c>
      <c r="L6" s="84" t="n"/>
      <c r="M6" s="84" t="n"/>
      <c r="N6" s="84" t="n"/>
      <c r="O6" s="84" t="n"/>
    </row>
    <row r="7" ht="7.5" customHeight="1" s="83">
      <c r="A7" s="84" t="n"/>
      <c r="B7" s="84" t="n"/>
      <c r="C7" s="84" t="n"/>
      <c r="D7" s="84" t="n"/>
      <c r="E7" s="84" t="n"/>
      <c r="F7" s="84" t="n"/>
      <c r="G7" s="84" t="n"/>
      <c r="H7" s="84" t="n"/>
      <c r="I7" s="84" t="n"/>
      <c r="J7" s="84" t="n"/>
      <c r="K7" s="84" t="n"/>
      <c r="L7" s="84" t="n"/>
      <c r="M7" s="84" t="n"/>
      <c r="N7" s="84" t="n"/>
      <c r="O7" s="84" t="n"/>
    </row>
    <row r="8" ht="25.5" customHeight="1" s="83">
      <c r="A8" s="84" t="n"/>
      <c r="B8" s="84" t="n"/>
      <c r="C8" s="94" t="inlineStr">
        <is>
          <t>━━  YOUR DEBT-FREE DATE  ━━</t>
        </is>
      </c>
      <c r="H8" s="84" t="n"/>
      <c r="I8" s="95" t="inlineStr">
        <is>
          <t>━━  PROGRESS  ━━</t>
        </is>
      </c>
      <c r="N8" s="96" t="n"/>
      <c r="O8" s="84" t="n"/>
    </row>
    <row r="9" ht="57.75" customHeight="1" s="83">
      <c r="A9" s="84" t="n"/>
      <c r="B9" s="84" t="n"/>
      <c r="C9" s="97">
        <f>IF(C5="Snowball",Snowball!CJ3,Avalanche!CJ3)</f>
        <v/>
      </c>
      <c r="H9" s="84" t="n"/>
      <c r="I9" s="98">
        <f>IF(Debts!I8&gt;0,1-(IF(C5="Snowball",Snowball!CJ5,Avalanche!CJ5)/Debts!I8),0)</f>
        <v/>
      </c>
      <c r="L9" s="99" t="inlineStr">
        <is>
          <t>paid off</t>
        </is>
      </c>
      <c r="N9" s="96" t="n"/>
      <c r="O9" s="84" t="n"/>
    </row>
    <row r="10" ht="25.5" customHeight="1" s="83">
      <c r="A10" s="84" t="n"/>
      <c r="B10" s="84" t="n"/>
      <c r="C10" s="100">
        <f>IF(C5="Snowball",Snowball!CJ4,Avalanche!CJ4)&amp;" months to freedom"</f>
        <v/>
      </c>
      <c r="H10" s="84" t="n"/>
      <c r="I10" s="101">
        <f>"$"&amp;TEXT(Debts!I8-IF(C5="Snowball",Snowball!CJ5,Avalanche!CJ5),"#,##0")&amp;" conquered so far"</f>
        <v/>
      </c>
      <c r="N10" s="96" t="n"/>
      <c r="O10" s="84" t="n"/>
    </row>
    <row r="11" ht="15" customHeight="1" s="83">
      <c r="A11" s="84" t="n"/>
      <c r="B11" s="84" t="n"/>
      <c r="C11" s="84" t="n"/>
      <c r="D11" s="84" t="n"/>
      <c r="E11" s="84" t="n"/>
      <c r="F11" s="84" t="n"/>
      <c r="G11" s="84" t="n"/>
      <c r="H11" s="84" t="n"/>
      <c r="I11" s="84" t="n"/>
      <c r="J11" s="84" t="n"/>
      <c r="K11" s="84" t="n"/>
      <c r="L11" s="84" t="n"/>
      <c r="M11" s="84" t="n"/>
      <c r="N11" s="84" t="n"/>
      <c r="O11" s="84" t="n"/>
    </row>
    <row r="12" ht="43.5" customHeight="1" s="83">
      <c r="A12" s="84" t="n"/>
      <c r="B12" s="84" t="n"/>
      <c r="C12" s="102">
        <f>Debts!I8</f>
        <v/>
      </c>
      <c r="D12" s="103" t="n"/>
      <c r="E12" s="84" t="n"/>
      <c r="F12" s="104">
        <f>Debts!I9+Dashboard!F5</f>
        <v/>
      </c>
      <c r="G12" s="103" t="n"/>
      <c r="H12" s="84" t="n"/>
      <c r="I12" s="105">
        <f>IF(C5="Snowball",Snowball!CJ2,Avalanche!CJ2)</f>
        <v/>
      </c>
      <c r="J12" s="103" t="n"/>
      <c r="K12" s="84" t="n"/>
      <c r="L12" s="106">
        <f>Debts!I11</f>
        <v/>
      </c>
      <c r="M12" s="103" t="n"/>
      <c r="N12" s="84" t="n"/>
      <c r="O12" s="84" t="n"/>
    </row>
    <row r="13" ht="21.75" customHeight="1" s="83">
      <c r="A13" s="84" t="n"/>
      <c r="B13" s="84" t="n"/>
      <c r="C13" s="107" t="inlineStr">
        <is>
          <t>━━  TOTAL DEBT  ━━</t>
        </is>
      </c>
      <c r="E13" s="84" t="n"/>
      <c r="F13" s="107" t="inlineStr">
        <is>
          <t>━━  MONTHLY PAYMENT  ━━</t>
        </is>
      </c>
      <c r="H13" s="84" t="n"/>
      <c r="I13" s="107" t="inlineStr">
        <is>
          <t>━━  TOTAL INTEREST  ━━</t>
        </is>
      </c>
      <c r="K13" s="84" t="n"/>
      <c r="L13" s="107" t="inlineStr">
        <is>
          <t>━━  ACTIVE DEBTS  ━━</t>
        </is>
      </c>
      <c r="N13" s="84" t="n"/>
      <c r="O13" s="84" t="n"/>
    </row>
    <row r="14" ht="15" customHeight="1" s="83">
      <c r="A14" s="84" t="n"/>
      <c r="B14" s="84" t="n"/>
      <c r="C14" s="84" t="n"/>
      <c r="D14" s="84" t="n"/>
      <c r="E14" s="84" t="n"/>
      <c r="F14" s="84" t="n"/>
      <c r="G14" s="84" t="n"/>
      <c r="H14" s="84" t="n"/>
      <c r="I14" s="84" t="n"/>
      <c r="J14" s="84" t="n"/>
      <c r="K14" s="84" t="n"/>
      <c r="L14" s="84" t="n"/>
      <c r="M14" s="84" t="n"/>
      <c r="N14" s="84" t="n"/>
      <c r="O14" s="84" t="n"/>
    </row>
    <row r="15" ht="30" customHeight="1" s="83">
      <c r="A15" s="84" t="n"/>
      <c r="B15" s="84" t="n"/>
      <c r="C15" s="108" t="inlineStr">
        <is>
          <t>●  YOUR DEBTS</t>
        </is>
      </c>
      <c r="N15" s="85" t="n"/>
      <c r="O15" s="84" t="n"/>
    </row>
    <row r="16" ht="25.5" customHeight="1" s="83">
      <c r="A16" s="84" t="n"/>
      <c r="B16" s="84" t="n"/>
      <c r="C16" s="95" t="inlineStr">
        <is>
          <t>DEBT NAME</t>
        </is>
      </c>
      <c r="D16" s="84" t="n"/>
      <c r="E16" s="95" t="inlineStr">
        <is>
          <t>BALANCE</t>
        </is>
      </c>
      <c r="F16" s="95" t="inlineStr">
        <is>
          <t>APR</t>
        </is>
      </c>
      <c r="G16" s="95" t="inlineStr">
        <is>
          <t>MIN PMT</t>
        </is>
      </c>
      <c r="H16" s="84" t="n"/>
      <c r="I16" s="95" t="inlineStr">
        <is>
          <t>PRIORITY</t>
        </is>
      </c>
      <c r="J16" s="95" t="inlineStr">
        <is>
          <t>STATUS</t>
        </is>
      </c>
      <c r="K16" s="84" t="n"/>
      <c r="L16" s="95" t="inlineStr">
        <is>
          <t>TYPE</t>
        </is>
      </c>
      <c r="M16" s="84" t="n"/>
      <c r="N16" s="84" t="n"/>
      <c r="O16" s="84" t="n"/>
    </row>
    <row r="17" ht="25.5" customHeight="1" s="83">
      <c r="A17" s="84" t="n"/>
      <c r="B17" s="84" t="n"/>
      <c r="C17" s="109">
        <f>IF(Debts!B8="","",Debts!B8)</f>
        <v/>
      </c>
      <c r="D17" s="110" t="n"/>
      <c r="E17" s="111">
        <f>IF(Debts!C8="","",Debts!C8)</f>
        <v/>
      </c>
      <c r="F17" s="112">
        <f>IF(Debts!D8="","",Debts!D8)</f>
        <v/>
      </c>
      <c r="G17" s="111">
        <f>IF(Debts!E8="","",Debts!E8)</f>
        <v/>
      </c>
      <c r="H17" s="110" t="n"/>
      <c r="I17" s="113">
        <f>IF(Debts!B8="","",IF(Dashboard!$C$5="Snowball",Debts!I32,Debts!J32))</f>
        <v/>
      </c>
      <c r="J17" s="114">
        <f>IF(Debts!C8="","",IF(Debts!C8&lt;=0,"✓ Paid","● Active"))</f>
        <v/>
      </c>
      <c r="K17" s="110" t="n"/>
      <c r="L17" s="115">
        <f>IF(Debts!F8="","",Debts!F8)</f>
        <v/>
      </c>
      <c r="M17" s="110" t="n"/>
      <c r="N17" s="84" t="n"/>
      <c r="O17" s="84" t="n"/>
    </row>
    <row r="18" ht="25.5" customHeight="1" s="83">
      <c r="A18" s="84" t="n"/>
      <c r="B18" s="84" t="n"/>
      <c r="C18" s="116">
        <f>IF(Debts!B9="","",Debts!B9)</f>
        <v/>
      </c>
      <c r="D18" s="117" t="n"/>
      <c r="E18" s="118">
        <f>IF(Debts!C9="","",Debts!C9)</f>
        <v/>
      </c>
      <c r="F18" s="119">
        <f>IF(Debts!D9="","",Debts!D9)</f>
        <v/>
      </c>
      <c r="G18" s="118">
        <f>IF(Debts!E9="","",Debts!E9)</f>
        <v/>
      </c>
      <c r="H18" s="117" t="n"/>
      <c r="I18" s="120">
        <f>IF(Debts!B9="","",IF(Dashboard!$C$5="Snowball",Debts!I33,Debts!J33))</f>
        <v/>
      </c>
      <c r="J18" s="121">
        <f>IF(Debts!C9="","",IF(Debts!C9&lt;=0,"✓ Paid","● Active"))</f>
        <v/>
      </c>
      <c r="K18" s="117" t="n"/>
      <c r="L18" s="122">
        <f>IF(Debts!F9="","",Debts!F9)</f>
        <v/>
      </c>
      <c r="M18" s="117" t="n"/>
      <c r="N18" s="96" t="n"/>
      <c r="O18" s="84" t="n"/>
    </row>
    <row r="19" ht="25.5" customHeight="1" s="83">
      <c r="A19" s="84" t="n"/>
      <c r="B19" s="84" t="n"/>
      <c r="C19" s="109">
        <f>IF(Debts!B10="","",Debts!B10)</f>
        <v/>
      </c>
      <c r="D19" s="110" t="n"/>
      <c r="E19" s="111">
        <f>IF(Debts!C10="","",Debts!C10)</f>
        <v/>
      </c>
      <c r="F19" s="112">
        <f>IF(Debts!D10="","",Debts!D10)</f>
        <v/>
      </c>
      <c r="G19" s="111">
        <f>IF(Debts!E10="","",Debts!E10)</f>
        <v/>
      </c>
      <c r="H19" s="110" t="n"/>
      <c r="I19" s="113">
        <f>IF(Debts!B10="","",IF(Dashboard!$C$5="Snowball",Debts!I34,Debts!J34))</f>
        <v/>
      </c>
      <c r="J19" s="114">
        <f>IF(Debts!C10="","",IF(Debts!C10&lt;=0,"✓ Paid","● Active"))</f>
        <v/>
      </c>
      <c r="K19" s="110" t="n"/>
      <c r="L19" s="115">
        <f>IF(Debts!F10="","",Debts!F10)</f>
        <v/>
      </c>
      <c r="M19" s="110" t="n"/>
      <c r="N19" s="84" t="n"/>
      <c r="O19" s="84" t="n"/>
    </row>
    <row r="20" ht="25.5" customHeight="1" s="83">
      <c r="A20" s="84" t="n"/>
      <c r="B20" s="84" t="n"/>
      <c r="C20" s="116">
        <f>IF(Debts!B11="","",Debts!B11)</f>
        <v/>
      </c>
      <c r="D20" s="117" t="n"/>
      <c r="E20" s="118">
        <f>IF(Debts!C11="","",Debts!C11)</f>
        <v/>
      </c>
      <c r="F20" s="119">
        <f>IF(Debts!D11="","",Debts!D11)</f>
        <v/>
      </c>
      <c r="G20" s="118">
        <f>IF(Debts!E11="","",Debts!E11)</f>
        <v/>
      </c>
      <c r="H20" s="117" t="n"/>
      <c r="I20" s="120">
        <f>IF(Debts!B11="","",IF(Dashboard!$C$5="Snowball",Debts!I35,Debts!J35))</f>
        <v/>
      </c>
      <c r="J20" s="121">
        <f>IF(Debts!C11="","",IF(Debts!C11&lt;=0,"✓ Paid","● Active"))</f>
        <v/>
      </c>
      <c r="K20" s="117" t="n"/>
      <c r="L20" s="122">
        <f>IF(Debts!F11="","",Debts!F11)</f>
        <v/>
      </c>
      <c r="M20" s="117" t="n"/>
      <c r="N20" s="96" t="n"/>
      <c r="O20" s="84" t="n"/>
    </row>
    <row r="21" ht="25.5" customHeight="1" s="83">
      <c r="A21" s="84" t="n"/>
      <c r="B21" s="84" t="n"/>
      <c r="C21" s="109">
        <f>IF(Debts!B12="","",Debts!B12)</f>
        <v/>
      </c>
      <c r="D21" s="110" t="n"/>
      <c r="E21" s="111">
        <f>IF(Debts!C12="","",Debts!C12)</f>
        <v/>
      </c>
      <c r="F21" s="112">
        <f>IF(Debts!D12="","",Debts!D12)</f>
        <v/>
      </c>
      <c r="G21" s="111">
        <f>IF(Debts!E12="","",Debts!E12)</f>
        <v/>
      </c>
      <c r="H21" s="110" t="n"/>
      <c r="I21" s="113">
        <f>IF(Debts!B12="","",IF(Dashboard!$C$5="Snowball",Debts!I36,Debts!J36))</f>
        <v/>
      </c>
      <c r="J21" s="114">
        <f>IF(Debts!C12="","",IF(Debts!C12&lt;=0,"✓ Paid","● Active"))</f>
        <v/>
      </c>
      <c r="K21" s="110" t="n"/>
      <c r="L21" s="115">
        <f>IF(Debts!F12="","",Debts!F12)</f>
        <v/>
      </c>
      <c r="M21" s="110" t="n"/>
      <c r="N21" s="84" t="n"/>
      <c r="O21" s="84" t="n"/>
    </row>
    <row r="22" ht="25.5" customHeight="1" s="83">
      <c r="A22" s="84" t="n"/>
      <c r="B22" s="84" t="n"/>
      <c r="C22" s="116">
        <f>IF(Debts!B13="","",Debts!B13)</f>
        <v/>
      </c>
      <c r="D22" s="117" t="n"/>
      <c r="E22" s="118">
        <f>IF(Debts!C13="","",Debts!C13)</f>
        <v/>
      </c>
      <c r="F22" s="119">
        <f>IF(Debts!D13="","",Debts!D13)</f>
        <v/>
      </c>
      <c r="G22" s="118">
        <f>IF(Debts!E13="","",Debts!E13)</f>
        <v/>
      </c>
      <c r="H22" s="117" t="n"/>
      <c r="I22" s="120">
        <f>IF(Debts!B13="","",IF(Dashboard!$C$5="Snowball",Debts!I37,Debts!J37))</f>
        <v/>
      </c>
      <c r="J22" s="121">
        <f>IF(Debts!C13="","",IF(Debts!C13&lt;=0,"✓ Paid","● Active"))</f>
        <v/>
      </c>
      <c r="K22" s="117" t="n"/>
      <c r="L22" s="122">
        <f>IF(Debts!F13="","",Debts!F13)</f>
        <v/>
      </c>
      <c r="M22" s="117" t="n"/>
      <c r="N22" s="96" t="n"/>
      <c r="O22" s="84" t="n"/>
    </row>
    <row r="23" ht="25.5" customHeight="1" s="83">
      <c r="A23" s="84" t="n"/>
      <c r="B23" s="84" t="n"/>
      <c r="C23" s="109">
        <f>IF(Debts!B14="","",Debts!B14)</f>
        <v/>
      </c>
      <c r="D23" s="110" t="n"/>
      <c r="E23" s="111">
        <f>IF(Debts!C14="","",Debts!C14)</f>
        <v/>
      </c>
      <c r="F23" s="112">
        <f>IF(Debts!D14="","",Debts!D14)</f>
        <v/>
      </c>
      <c r="G23" s="111">
        <f>IF(Debts!E14="","",Debts!E14)</f>
        <v/>
      </c>
      <c r="H23" s="110" t="n"/>
      <c r="I23" s="113">
        <f>IF(Debts!B14="","",IF(Dashboard!$C$5="Snowball",Debts!I38,Debts!J38))</f>
        <v/>
      </c>
      <c r="J23" s="114">
        <f>IF(Debts!C14="","",IF(Debts!C14&lt;=0,"✓ Paid","● Active"))</f>
        <v/>
      </c>
      <c r="K23" s="110" t="n"/>
      <c r="L23" s="115">
        <f>IF(Debts!F14="","",Debts!F14)</f>
        <v/>
      </c>
      <c r="M23" s="110" t="n"/>
      <c r="N23" s="84" t="n"/>
      <c r="O23" s="84" t="n"/>
    </row>
    <row r="24" ht="25.5" customHeight="1" s="83">
      <c r="A24" s="84" t="n"/>
      <c r="B24" s="84" t="n"/>
      <c r="C24" s="116">
        <f>IF(Debts!B15="","",Debts!B15)</f>
        <v/>
      </c>
      <c r="D24" s="117" t="n"/>
      <c r="E24" s="118">
        <f>IF(Debts!C15="","",Debts!C15)</f>
        <v/>
      </c>
      <c r="F24" s="119">
        <f>IF(Debts!D15="","",Debts!D15)</f>
        <v/>
      </c>
      <c r="G24" s="118">
        <f>IF(Debts!E15="","",Debts!E15)</f>
        <v/>
      </c>
      <c r="H24" s="117" t="n"/>
      <c r="I24" s="120">
        <f>IF(Debts!B15="","",IF(Dashboard!$C$5="Snowball",Debts!I39,Debts!J39))</f>
        <v/>
      </c>
      <c r="J24" s="121">
        <f>IF(Debts!C15="","",IF(Debts!C15&lt;=0,"✓ Paid","● Active"))</f>
        <v/>
      </c>
      <c r="K24" s="117" t="n"/>
      <c r="L24" s="122">
        <f>IF(Debts!F15="","",Debts!F15)</f>
        <v/>
      </c>
      <c r="M24" s="117" t="n"/>
      <c r="N24" s="96" t="n"/>
      <c r="O24" s="84" t="n"/>
    </row>
    <row r="25" ht="25.5" customHeight="1" s="83">
      <c r="A25" s="84" t="n"/>
      <c r="B25" s="84" t="n"/>
      <c r="C25" s="109">
        <f>IF(Debts!B16="","",Debts!B16)</f>
        <v/>
      </c>
      <c r="D25" s="110" t="n"/>
      <c r="E25" s="111">
        <f>IF(Debts!C16="","",Debts!C16)</f>
        <v/>
      </c>
      <c r="F25" s="112">
        <f>IF(Debts!D16="","",Debts!D16)</f>
        <v/>
      </c>
      <c r="G25" s="111">
        <f>IF(Debts!E16="","",Debts!E16)</f>
        <v/>
      </c>
      <c r="H25" s="110" t="n"/>
      <c r="I25" s="113">
        <f>IF(Debts!B16="","",IF(Dashboard!$C$5="Snowball",Debts!I40,Debts!J40))</f>
        <v/>
      </c>
      <c r="J25" s="114">
        <f>IF(Debts!C16="","",IF(Debts!C16&lt;=0,"✓ Paid","● Active"))</f>
        <v/>
      </c>
      <c r="K25" s="110" t="n"/>
      <c r="L25" s="115">
        <f>IF(Debts!F16="","",Debts!F16)</f>
        <v/>
      </c>
      <c r="M25" s="110" t="n"/>
      <c r="N25" s="84" t="n"/>
      <c r="O25" s="84" t="n"/>
    </row>
    <row r="26" ht="25.5" customHeight="1" s="83">
      <c r="A26" s="84" t="n"/>
      <c r="B26" s="84" t="n"/>
      <c r="C26" s="116">
        <f>IF(Debts!B17="","",Debts!B17)</f>
        <v/>
      </c>
      <c r="D26" s="117" t="n"/>
      <c r="E26" s="118">
        <f>IF(Debts!C17="","",Debts!C17)</f>
        <v/>
      </c>
      <c r="F26" s="119">
        <f>IF(Debts!D17="","",Debts!D17)</f>
        <v/>
      </c>
      <c r="G26" s="118">
        <f>IF(Debts!E17="","",Debts!E17)</f>
        <v/>
      </c>
      <c r="H26" s="117" t="n"/>
      <c r="I26" s="120">
        <f>IF(Debts!B17="","",IF(Dashboard!$C$5="Snowball",Debts!I41,Debts!J41))</f>
        <v/>
      </c>
      <c r="J26" s="121">
        <f>IF(Debts!C17="","",IF(Debts!C17&lt;=0,"✓ Paid","● Active"))</f>
        <v/>
      </c>
      <c r="K26" s="117" t="n"/>
      <c r="L26" s="122">
        <f>IF(Debts!F17="","",Debts!F17)</f>
        <v/>
      </c>
      <c r="M26" s="117" t="n"/>
      <c r="N26" s="96" t="n"/>
      <c r="O26" s="84" t="n"/>
    </row>
    <row r="27" ht="25.5" customHeight="1" s="83">
      <c r="A27" s="84" t="n"/>
      <c r="B27" s="84" t="n"/>
      <c r="C27" s="109">
        <f>IF(Debts!B18="","",Debts!B18)</f>
        <v/>
      </c>
      <c r="D27" s="110" t="n"/>
      <c r="E27" s="111">
        <f>IF(Debts!C18="","",Debts!C18)</f>
        <v/>
      </c>
      <c r="F27" s="112">
        <f>IF(Debts!D18="","",Debts!D18)</f>
        <v/>
      </c>
      <c r="G27" s="111">
        <f>IF(Debts!E18="","",Debts!E18)</f>
        <v/>
      </c>
      <c r="H27" s="110" t="n"/>
      <c r="I27" s="113">
        <f>IF(Debts!B18="","",IF(Dashboard!$C$5="Snowball",Debts!I42,Debts!J42))</f>
        <v/>
      </c>
      <c r="J27" s="114">
        <f>IF(Debts!C18="","",IF(Debts!C18&lt;=0,"✓ Paid","● Active"))</f>
        <v/>
      </c>
      <c r="K27" s="110" t="n"/>
      <c r="L27" s="115">
        <f>IF(Debts!F18="","",Debts!F18)</f>
        <v/>
      </c>
      <c r="M27" s="110" t="n"/>
      <c r="N27" s="84" t="n"/>
      <c r="O27" s="84" t="n"/>
    </row>
    <row r="28" ht="25.5" customHeight="1" s="83">
      <c r="A28" s="84" t="n"/>
      <c r="B28" s="84" t="n"/>
      <c r="C28" s="116">
        <f>IF(Debts!B19="","",Debts!B19)</f>
        <v/>
      </c>
      <c r="D28" s="117" t="n"/>
      <c r="E28" s="118">
        <f>IF(Debts!C19="","",Debts!C19)</f>
        <v/>
      </c>
      <c r="F28" s="119">
        <f>IF(Debts!D19="","",Debts!D19)</f>
        <v/>
      </c>
      <c r="G28" s="118">
        <f>IF(Debts!E19="","",Debts!E19)</f>
        <v/>
      </c>
      <c r="H28" s="117" t="n"/>
      <c r="I28" s="120">
        <f>IF(Debts!B19="","",IF(Dashboard!$C$5="Snowball",Debts!I43,Debts!J43))</f>
        <v/>
      </c>
      <c r="J28" s="121">
        <f>IF(Debts!C19="","",IF(Debts!C19&lt;=0,"✓ Paid","● Active"))</f>
        <v/>
      </c>
      <c r="K28" s="117" t="n"/>
      <c r="L28" s="122">
        <f>IF(Debts!F19="","",Debts!F19)</f>
        <v/>
      </c>
      <c r="M28" s="117" t="n"/>
      <c r="N28" s="96" t="n"/>
      <c r="O28" s="84" t="n"/>
    </row>
    <row r="29" ht="25.5" customHeight="1" s="83">
      <c r="A29" s="84" t="n"/>
      <c r="B29" s="84" t="n"/>
      <c r="C29" s="109">
        <f>IF(Debts!B20="","",Debts!B20)</f>
        <v/>
      </c>
      <c r="D29" s="110" t="n"/>
      <c r="E29" s="111">
        <f>IF(Debts!C20="","",Debts!C20)</f>
        <v/>
      </c>
      <c r="F29" s="112">
        <f>IF(Debts!D20="","",Debts!D20)</f>
        <v/>
      </c>
      <c r="G29" s="111">
        <f>IF(Debts!E20="","",Debts!E20)</f>
        <v/>
      </c>
      <c r="H29" s="110" t="n"/>
      <c r="I29" s="113">
        <f>IF(Debts!B20="","",IF(Dashboard!$C$5="Snowball",Debts!I44,Debts!J44))</f>
        <v/>
      </c>
      <c r="J29" s="114">
        <f>IF(Debts!C20="","",IF(Debts!C20&lt;=0,"✓ Paid","● Active"))</f>
        <v/>
      </c>
      <c r="K29" s="110" t="n"/>
      <c r="L29" s="115">
        <f>IF(Debts!F20="","",Debts!F20)</f>
        <v/>
      </c>
      <c r="M29" s="110" t="n"/>
      <c r="N29" s="84" t="n"/>
      <c r="O29" s="84" t="n"/>
    </row>
    <row r="30" ht="25.5" customHeight="1" s="83">
      <c r="A30" s="84" t="n"/>
      <c r="B30" s="84" t="n"/>
      <c r="C30" s="116">
        <f>IF(Debts!B21="","",Debts!B21)</f>
        <v/>
      </c>
      <c r="D30" s="117" t="n"/>
      <c r="E30" s="118">
        <f>IF(Debts!C21="","",Debts!C21)</f>
        <v/>
      </c>
      <c r="F30" s="119">
        <f>IF(Debts!D21="","",Debts!D21)</f>
        <v/>
      </c>
      <c r="G30" s="118">
        <f>IF(Debts!E21="","",Debts!E21)</f>
        <v/>
      </c>
      <c r="H30" s="117" t="n"/>
      <c r="I30" s="120">
        <f>IF(Debts!B21="","",IF(Dashboard!$C$5="Snowball",Debts!I45,Debts!J45))</f>
        <v/>
      </c>
      <c r="J30" s="121">
        <f>IF(Debts!C21="","",IF(Debts!C21&lt;=0,"✓ Paid","● Active"))</f>
        <v/>
      </c>
      <c r="K30" s="117" t="n"/>
      <c r="L30" s="122">
        <f>IF(Debts!F21="","",Debts!F21)</f>
        <v/>
      </c>
      <c r="M30" s="117" t="n"/>
      <c r="N30" s="96" t="n"/>
      <c r="O30" s="84" t="n"/>
    </row>
    <row r="31" ht="25.5" customHeight="1" s="83">
      <c r="A31" s="84" t="n"/>
      <c r="B31" s="84" t="n"/>
      <c r="C31" s="109">
        <f>IF(Debts!B22="","",Debts!B22)</f>
        <v/>
      </c>
      <c r="D31" s="110" t="n"/>
      <c r="E31" s="111">
        <f>IF(Debts!C22="","",Debts!C22)</f>
        <v/>
      </c>
      <c r="F31" s="112">
        <f>IF(Debts!D22="","",Debts!D22)</f>
        <v/>
      </c>
      <c r="G31" s="111">
        <f>IF(Debts!E22="","",Debts!E22)</f>
        <v/>
      </c>
      <c r="H31" s="110" t="n"/>
      <c r="I31" s="113">
        <f>IF(Debts!B22="","",IF(Dashboard!$C$5="Snowball",Debts!I46,Debts!J46))</f>
        <v/>
      </c>
      <c r="J31" s="114">
        <f>IF(Debts!C22="","",IF(Debts!C22&lt;=0,"✓ Paid","● Active"))</f>
        <v/>
      </c>
      <c r="K31" s="110" t="n"/>
      <c r="L31" s="115">
        <f>IF(Debts!F22="","",Debts!F22)</f>
        <v/>
      </c>
      <c r="M31" s="110" t="n"/>
      <c r="N31" s="84" t="n"/>
      <c r="O31" s="84" t="n"/>
    </row>
    <row r="32" ht="25.5" customHeight="1" s="83">
      <c r="A32" s="84" t="n"/>
      <c r="B32" s="84" t="n"/>
      <c r="C32" s="116">
        <f>IF(Debts!B23="","",Debts!B23)</f>
        <v/>
      </c>
      <c r="D32" s="117" t="n"/>
      <c r="E32" s="118">
        <f>IF(Debts!C23="","",Debts!C23)</f>
        <v/>
      </c>
      <c r="F32" s="119">
        <f>IF(Debts!D23="","",Debts!D23)</f>
        <v/>
      </c>
      <c r="G32" s="118">
        <f>IF(Debts!E23="","",Debts!E23)</f>
        <v/>
      </c>
      <c r="H32" s="117" t="n"/>
      <c r="I32" s="120">
        <f>IF(Debts!B23="","",IF(Dashboard!$C$5="Snowball",Debts!I47,Debts!J47))</f>
        <v/>
      </c>
      <c r="J32" s="121">
        <f>IF(Debts!C23="","",IF(Debts!C23&lt;=0,"✓ Paid","● Active"))</f>
        <v/>
      </c>
      <c r="K32" s="117" t="n"/>
      <c r="L32" s="122">
        <f>IF(Debts!F23="","",Debts!F23)</f>
        <v/>
      </c>
      <c r="M32" s="117" t="n"/>
      <c r="N32" s="96" t="n"/>
      <c r="O32" s="84" t="n"/>
    </row>
    <row r="33" ht="25.5" customHeight="1" s="83">
      <c r="A33" s="84" t="n"/>
      <c r="B33" s="84" t="n"/>
      <c r="C33" s="109">
        <f>IF(Debts!B24="","",Debts!B24)</f>
        <v/>
      </c>
      <c r="D33" s="110" t="n"/>
      <c r="E33" s="111">
        <f>IF(Debts!C24="","",Debts!C24)</f>
        <v/>
      </c>
      <c r="F33" s="112">
        <f>IF(Debts!D24="","",Debts!D24)</f>
        <v/>
      </c>
      <c r="G33" s="111">
        <f>IF(Debts!E24="","",Debts!E24)</f>
        <v/>
      </c>
      <c r="H33" s="110" t="n"/>
      <c r="I33" s="113">
        <f>IF(Debts!B24="","",IF(Dashboard!$C$5="Snowball",Debts!I48,Debts!J48))</f>
        <v/>
      </c>
      <c r="J33" s="114">
        <f>IF(Debts!C24="","",IF(Debts!C24&lt;=0,"✓ Paid","● Active"))</f>
        <v/>
      </c>
      <c r="K33" s="110" t="n"/>
      <c r="L33" s="115">
        <f>IF(Debts!F24="","",Debts!F24)</f>
        <v/>
      </c>
      <c r="M33" s="110" t="n"/>
      <c r="N33" s="84" t="n"/>
      <c r="O33" s="84" t="n"/>
    </row>
    <row r="34" ht="25.5" customHeight="1" s="83">
      <c r="A34" s="84" t="n"/>
      <c r="B34" s="84" t="n"/>
      <c r="C34" s="116">
        <f>IF(Debts!B25="","",Debts!B25)</f>
        <v/>
      </c>
      <c r="D34" s="117" t="n"/>
      <c r="E34" s="118">
        <f>IF(Debts!C25="","",Debts!C25)</f>
        <v/>
      </c>
      <c r="F34" s="119">
        <f>IF(Debts!D25="","",Debts!D25)</f>
        <v/>
      </c>
      <c r="G34" s="118">
        <f>IF(Debts!E25="","",Debts!E25)</f>
        <v/>
      </c>
      <c r="H34" s="117" t="n"/>
      <c r="I34" s="120">
        <f>IF(Debts!B25="","",IF(Dashboard!$C$5="Snowball",Debts!I49,Debts!J49))</f>
        <v/>
      </c>
      <c r="J34" s="121">
        <f>IF(Debts!C25="","",IF(Debts!C25&lt;=0,"✓ Paid","● Active"))</f>
        <v/>
      </c>
      <c r="K34" s="117" t="n"/>
      <c r="L34" s="122">
        <f>IF(Debts!F25="","",Debts!F25)</f>
        <v/>
      </c>
      <c r="M34" s="117" t="n"/>
      <c r="N34" s="96" t="n"/>
      <c r="O34" s="84" t="n"/>
    </row>
    <row r="35" ht="25.5" customHeight="1" s="83">
      <c r="A35" s="84" t="n"/>
      <c r="B35" s="84" t="n"/>
      <c r="C35" s="109">
        <f>IF(Debts!B26="","",Debts!B26)</f>
        <v/>
      </c>
      <c r="D35" s="110" t="n"/>
      <c r="E35" s="111">
        <f>IF(Debts!C26="","",Debts!C26)</f>
        <v/>
      </c>
      <c r="F35" s="112">
        <f>IF(Debts!D26="","",Debts!D26)</f>
        <v/>
      </c>
      <c r="G35" s="111">
        <f>IF(Debts!E26="","",Debts!E26)</f>
        <v/>
      </c>
      <c r="H35" s="110" t="n"/>
      <c r="I35" s="113">
        <f>IF(Debts!B26="","",IF(Dashboard!$C$5="Snowball",Debts!I50,Debts!J50))</f>
        <v/>
      </c>
      <c r="J35" s="114">
        <f>IF(Debts!C26="","",IF(Debts!C26&lt;=0,"✓ Paid","● Active"))</f>
        <v/>
      </c>
      <c r="K35" s="110" t="n"/>
      <c r="L35" s="115">
        <f>IF(Debts!F26="","",Debts!F26)</f>
        <v/>
      </c>
      <c r="M35" s="110" t="n"/>
      <c r="N35" s="84" t="n"/>
      <c r="O35" s="84" t="n"/>
    </row>
    <row r="36" ht="25.5" customHeight="1" s="83">
      <c r="A36" s="84" t="n"/>
      <c r="B36" s="84" t="n"/>
      <c r="C36" s="116">
        <f>IF(Debts!B27="","",Debts!B27)</f>
        <v/>
      </c>
      <c r="D36" s="117" t="n"/>
      <c r="E36" s="118">
        <f>IF(Debts!C27="","",Debts!C27)</f>
        <v/>
      </c>
      <c r="F36" s="119">
        <f>IF(Debts!D27="","",Debts!D27)</f>
        <v/>
      </c>
      <c r="G36" s="118">
        <f>IF(Debts!E27="","",Debts!E27)</f>
        <v/>
      </c>
      <c r="H36" s="117" t="n"/>
      <c r="I36" s="120">
        <f>IF(Debts!B27="","",IF(Dashboard!$C$5="Snowball",Debts!I51,Debts!J51))</f>
        <v/>
      </c>
      <c r="J36" s="121">
        <f>IF(Debts!C27="","",IF(Debts!C27&lt;=0,"✓ Paid","● Active"))</f>
        <v/>
      </c>
      <c r="K36" s="117" t="n"/>
      <c r="L36" s="122">
        <f>IF(Debts!F27="","",Debts!F27)</f>
        <v/>
      </c>
      <c r="M36" s="117" t="n"/>
      <c r="N36" s="96" t="n"/>
      <c r="O36" s="84" t="n"/>
    </row>
    <row r="37" ht="7.5" customHeight="1" s="83">
      <c r="A37" s="84" t="n"/>
      <c r="B37" s="84" t="n"/>
      <c r="C37" s="84" t="n"/>
      <c r="D37" s="84" t="n"/>
      <c r="E37" s="84" t="n"/>
      <c r="F37" s="84" t="n"/>
      <c r="G37" s="84" t="n"/>
      <c r="H37" s="84" t="n"/>
      <c r="I37" s="84" t="n"/>
      <c r="J37" s="84" t="n"/>
      <c r="K37" s="84" t="n"/>
      <c r="L37" s="84" t="n"/>
      <c r="M37" s="84" t="n"/>
      <c r="N37" s="84" t="n"/>
      <c r="O37" s="84" t="n"/>
    </row>
    <row r="38" ht="27.75" customHeight="1" s="83">
      <c r="A38" s="84" t="n"/>
      <c r="B38" s="84" t="n"/>
      <c r="C38" s="108" t="inlineStr">
        <is>
          <t>●  SNOWBALL VS AVALANCHE</t>
        </is>
      </c>
      <c r="N38" s="85" t="n"/>
      <c r="O38" s="84" t="n"/>
    </row>
    <row r="39" ht="27.75" customHeight="1" s="83">
      <c r="A39" s="84" t="n"/>
      <c r="B39" s="84" t="n"/>
      <c r="C39" s="123" t="n"/>
      <c r="D39" s="84" t="n"/>
      <c r="E39" s="84" t="n"/>
      <c r="F39" s="123" t="inlineStr">
        <is>
          <t>SNOWBALL</t>
        </is>
      </c>
      <c r="G39" s="84" t="n"/>
      <c r="H39" s="84" t="n"/>
      <c r="I39" s="123" t="inlineStr">
        <is>
          <t>AVALANCHE</t>
        </is>
      </c>
      <c r="J39" s="84" t="n"/>
      <c r="K39" s="84" t="n"/>
      <c r="L39" s="123" t="inlineStr">
        <is>
          <t>SAVINGS</t>
        </is>
      </c>
      <c r="M39" s="84" t="n"/>
      <c r="N39" s="84" t="n"/>
      <c r="O39" s="84" t="n"/>
    </row>
    <row r="40" ht="27.75" customHeight="1" s="83">
      <c r="A40" s="84" t="n"/>
      <c r="B40" s="84" t="n"/>
      <c r="C40" s="124" t="inlineStr">
        <is>
          <t>Total Interest</t>
        </is>
      </c>
      <c r="D40" s="84" t="n"/>
      <c r="E40" s="84" t="n"/>
      <c r="F40" s="125">
        <f>Snowball!CJ2</f>
        <v/>
      </c>
      <c r="G40" s="84" t="n"/>
      <c r="H40" s="84" t="n"/>
      <c r="I40" s="125">
        <f>Avalanche!CJ2</f>
        <v/>
      </c>
      <c r="J40" s="84" t="n"/>
      <c r="K40" s="84" t="n"/>
      <c r="L40" s="126">
        <f>ABS(F40-I40)</f>
        <v/>
      </c>
      <c r="M40" s="84" t="n"/>
      <c r="N40" s="84" t="n"/>
      <c r="O40" s="84" t="n"/>
    </row>
    <row r="41" ht="27.75" customHeight="1" s="83">
      <c r="A41" s="84" t="n"/>
      <c r="B41" s="84" t="n"/>
      <c r="C41" s="127" t="inlineStr">
        <is>
          <t>Months to Freedom</t>
        </is>
      </c>
      <c r="D41" s="96" t="n"/>
      <c r="E41" s="96" t="n"/>
      <c r="F41" s="128">
        <f>Snowball!CJ4</f>
        <v/>
      </c>
      <c r="G41" s="96" t="n"/>
      <c r="H41" s="96" t="n"/>
      <c r="I41" s="128">
        <f>Avalanche!CJ4</f>
        <v/>
      </c>
      <c r="J41" s="96" t="n"/>
      <c r="K41" s="96" t="n"/>
      <c r="L41" s="129">
        <f>ABS(F41-I41)</f>
        <v/>
      </c>
      <c r="M41" s="96" t="n"/>
      <c r="N41" s="96" t="n"/>
      <c r="O41" s="84" t="n"/>
    </row>
    <row r="42" ht="27.75" customHeight="1" s="83">
      <c r="A42" s="84" t="n"/>
      <c r="B42" s="84" t="n"/>
      <c r="C42" s="124" t="inlineStr">
        <is>
          <t>Free Date</t>
        </is>
      </c>
      <c r="D42" s="84" t="n"/>
      <c r="E42" s="84" t="n"/>
      <c r="F42" s="130">
        <f>Snowball!CJ3</f>
        <v/>
      </c>
      <c r="G42" s="84" t="n"/>
      <c r="H42" s="84" t="n"/>
      <c r="I42" s="130">
        <f>Avalanche!CJ3</f>
        <v/>
      </c>
      <c r="J42" s="84" t="n"/>
      <c r="K42" s="84" t="n"/>
      <c r="L42" s="84" t="n"/>
      <c r="M42" s="84" t="n"/>
      <c r="N42" s="84" t="n"/>
      <c r="O42" s="84" t="n"/>
    </row>
    <row r="43" ht="27.75" customHeight="1" s="83">
      <c r="A43" s="84" t="n"/>
      <c r="B43" s="84" t="n"/>
      <c r="C43" s="84" t="n"/>
      <c r="D43" s="84" t="n"/>
      <c r="E43" s="84" t="n"/>
      <c r="F43" s="84" t="n"/>
      <c r="G43" s="84" t="n"/>
      <c r="H43" s="84" t="n"/>
      <c r="I43" s="84" t="n"/>
      <c r="J43" s="84" t="n"/>
      <c r="K43" s="84" t="n"/>
      <c r="L43" s="84" t="n"/>
      <c r="M43" s="84" t="n"/>
      <c r="N43" s="84" t="n"/>
      <c r="O43" s="84" t="n"/>
    </row>
    <row r="44" ht="27.75" customHeight="1" s="83">
      <c r="A44" s="84" t="n"/>
      <c r="B44" s="84" t="n"/>
      <c r="C44" s="131">
        <f>IF(Avalanche!CJ2&lt;Snowball!CJ2,"● Avalanche saves you $"&amp;TEXT(Snowball!CJ2-Avalanche!CJ2,"#,##0")&amp;" in interest","● Both methods cost the same")</f>
        <v/>
      </c>
      <c r="D44" s="84" t="n"/>
      <c r="E44" s="84" t="n"/>
      <c r="F44" s="84" t="n"/>
      <c r="G44" s="84" t="n"/>
      <c r="H44" s="84" t="n"/>
      <c r="I44" s="84" t="n"/>
      <c r="J44" s="84" t="n"/>
      <c r="K44" s="84" t="n"/>
      <c r="L44" s="84" t="n"/>
      <c r="M44" s="84" t="n"/>
      <c r="N44" s="84" t="n"/>
      <c r="O44" s="84" t="n"/>
    </row>
    <row r="45" ht="27.75" customHeight="1" s="83">
      <c r="A45" s="84" t="n"/>
      <c r="B45" s="84" t="n"/>
      <c r="C45" s="84" t="n"/>
      <c r="D45" s="84" t="n"/>
      <c r="E45" s="84" t="n"/>
      <c r="F45" s="84" t="n"/>
      <c r="G45" s="84" t="n"/>
      <c r="H45" s="84" t="n"/>
      <c r="I45" s="84" t="n"/>
      <c r="J45" s="84" t="n"/>
      <c r="K45" s="84" t="n"/>
      <c r="L45" s="84" t="n"/>
      <c r="M45" s="84" t="n"/>
      <c r="N45" s="84" t="n"/>
      <c r="O45" s="84" t="n"/>
    </row>
    <row r="46" ht="15" customHeight="1" s="83">
      <c r="A46" s="84" t="n"/>
      <c r="B46" s="84" t="n"/>
      <c r="C46" s="84" t="n"/>
      <c r="D46" s="84" t="n"/>
      <c r="E46" s="84" t="n"/>
      <c r="F46" s="84" t="n"/>
      <c r="G46" s="84" t="n"/>
      <c r="H46" s="84" t="n"/>
      <c r="I46" s="84" t="n"/>
      <c r="J46" s="84" t="n"/>
      <c r="K46" s="84" t="n"/>
      <c r="L46" s="84" t="n"/>
      <c r="M46" s="84" t="n"/>
      <c r="N46" s="84" t="n"/>
      <c r="O46" s="84" t="n"/>
    </row>
    <row r="47" ht="15" customHeight="1" s="83">
      <c r="A47" s="84" t="n"/>
      <c r="B47" s="84" t="n"/>
      <c r="C47" s="84" t="n"/>
      <c r="D47" s="84" t="n"/>
      <c r="E47" s="84" t="n"/>
      <c r="F47" s="84" t="n"/>
      <c r="G47" s="84" t="n"/>
      <c r="H47" s="84" t="n"/>
      <c r="I47" s="84" t="n"/>
      <c r="J47" s="84" t="n"/>
      <c r="K47" s="84" t="n"/>
      <c r="L47" s="84" t="n"/>
      <c r="M47" s="84" t="n"/>
      <c r="N47" s="84" t="n"/>
      <c r="O47" s="84" t="n"/>
    </row>
    <row r="48" ht="15" customHeight="1" s="83">
      <c r="A48" s="84" t="n"/>
      <c r="B48" s="84" t="n"/>
      <c r="C48" s="84" t="n"/>
      <c r="D48" s="84" t="n"/>
      <c r="E48" s="84" t="n"/>
      <c r="F48" s="84" t="n"/>
      <c r="G48" s="84" t="n"/>
      <c r="H48" s="84" t="n"/>
      <c r="I48" s="84" t="n"/>
      <c r="J48" s="84" t="n"/>
      <c r="K48" s="84" t="n"/>
      <c r="L48" s="84" t="n"/>
      <c r="M48" s="84" t="n"/>
      <c r="N48" s="84" t="n"/>
      <c r="O48" s="84" t="n"/>
    </row>
    <row r="49" ht="15" customHeight="1" s="83">
      <c r="A49" s="84" t="n"/>
      <c r="B49" s="84" t="n"/>
      <c r="C49" s="84" t="n"/>
      <c r="D49" s="84" t="n"/>
      <c r="E49" s="84" t="n"/>
      <c r="F49" s="84" t="n"/>
      <c r="G49" s="84" t="n"/>
      <c r="H49" s="84" t="n"/>
      <c r="I49" s="84" t="n"/>
      <c r="J49" s="84" t="n"/>
      <c r="K49" s="84" t="n"/>
      <c r="L49" s="84" t="n"/>
      <c r="M49" s="84" t="n"/>
      <c r="N49" s="84" t="n"/>
      <c r="O49" s="84" t="n"/>
    </row>
    <row r="50" ht="15" customHeight="1" s="83">
      <c r="A50" s="84" t="n"/>
      <c r="B50" s="84" t="n"/>
      <c r="C50" s="84" t="n"/>
      <c r="D50" s="84" t="n"/>
      <c r="E50" s="84" t="n"/>
      <c r="F50" s="84" t="n"/>
      <c r="G50" s="84" t="n"/>
      <c r="H50" s="84" t="n"/>
      <c r="I50" s="84" t="n"/>
      <c r="J50" s="84" t="n"/>
      <c r="K50" s="84" t="n"/>
      <c r="L50" s="84" t="n"/>
      <c r="M50" s="84" t="n"/>
      <c r="N50" s="84" t="n"/>
      <c r="O50" s="84" t="n"/>
    </row>
    <row r="51" ht="15" customHeight="1" s="83">
      <c r="A51" s="84" t="n"/>
      <c r="B51" s="84" t="n"/>
      <c r="C51" s="84" t="n"/>
      <c r="D51" s="84" t="n"/>
      <c r="E51" s="84" t="n"/>
      <c r="F51" s="84" t="n"/>
      <c r="G51" s="84" t="n"/>
      <c r="H51" s="84" t="n"/>
      <c r="I51" s="84" t="n"/>
      <c r="J51" s="84" t="n"/>
      <c r="K51" s="84" t="n"/>
      <c r="L51" s="84" t="n"/>
      <c r="M51" s="84" t="n"/>
      <c r="N51" s="84" t="n"/>
      <c r="O51" s="84" t="n"/>
    </row>
    <row r="52" ht="15" customHeight="1" s="83">
      <c r="A52" s="84" t="n"/>
      <c r="B52" s="84" t="n"/>
      <c r="C52" s="84" t="n"/>
      <c r="D52" s="84" t="n"/>
      <c r="E52" s="84" t="n"/>
      <c r="F52" s="84" t="n"/>
      <c r="G52" s="84" t="n"/>
      <c r="H52" s="84" t="n"/>
      <c r="I52" s="84" t="n"/>
      <c r="J52" s="84" t="n"/>
      <c r="K52" s="84" t="n"/>
      <c r="L52" s="84" t="n"/>
      <c r="M52" s="84" t="n"/>
      <c r="N52" s="84" t="n"/>
      <c r="O52" s="84" t="n"/>
    </row>
    <row r="53" ht="15" customHeight="1" s="83">
      <c r="A53" s="84" t="n"/>
      <c r="B53" s="84" t="n"/>
      <c r="C53" s="84" t="n"/>
      <c r="D53" s="84" t="n"/>
      <c r="E53" s="84" t="n"/>
      <c r="F53" s="84" t="n"/>
      <c r="G53" s="84" t="n"/>
      <c r="H53" s="84" t="n"/>
      <c r="I53" s="84" t="n"/>
      <c r="J53" s="84" t="n"/>
      <c r="K53" s="84" t="n"/>
      <c r="L53" s="84" t="n"/>
      <c r="M53" s="84" t="n"/>
      <c r="N53" s="84" t="n"/>
      <c r="O53" s="84" t="n"/>
    </row>
    <row r="54" ht="15" customHeight="1" s="83">
      <c r="A54" s="84" t="n"/>
      <c r="B54" s="84" t="n"/>
      <c r="C54" s="84" t="n"/>
      <c r="D54" s="84" t="n"/>
      <c r="E54" s="84" t="n"/>
      <c r="F54" s="84" t="n"/>
      <c r="G54" s="84" t="n"/>
      <c r="H54" s="84" t="n"/>
      <c r="I54" s="84" t="n"/>
      <c r="J54" s="84" t="n"/>
      <c r="K54" s="84" t="n"/>
      <c r="L54" s="84" t="n"/>
      <c r="M54" s="84" t="n"/>
      <c r="N54" s="84" t="n"/>
      <c r="O54" s="84" t="n"/>
    </row>
    <row r="55" ht="15" customHeight="1" s="83">
      <c r="A55" s="84" t="n"/>
      <c r="B55" s="84" t="n"/>
      <c r="C55" s="84" t="n"/>
      <c r="D55" s="84" t="n"/>
      <c r="E55" s="84" t="n"/>
      <c r="F55" s="84" t="n"/>
      <c r="G55" s="84" t="n"/>
      <c r="H55" s="84" t="n"/>
      <c r="I55" s="84" t="n"/>
      <c r="J55" s="84" t="n"/>
      <c r="K55" s="84" t="n"/>
      <c r="L55" s="84" t="n"/>
      <c r="M55" s="84" t="n"/>
      <c r="N55" s="84" t="n"/>
      <c r="O55" s="84" t="n"/>
    </row>
    <row r="56" ht="15" customHeight="1" s="83">
      <c r="A56" s="84" t="n"/>
      <c r="B56" s="84" t="n"/>
      <c r="C56" s="84" t="n"/>
      <c r="D56" s="84" t="n"/>
      <c r="E56" s="84" t="n"/>
      <c r="F56" s="84" t="n"/>
      <c r="G56" s="84" t="n"/>
      <c r="H56" s="84" t="n"/>
      <c r="I56" s="84" t="n"/>
      <c r="J56" s="84" t="n"/>
      <c r="K56" s="84" t="n"/>
      <c r="L56" s="84" t="n"/>
      <c r="M56" s="84" t="n"/>
      <c r="N56" s="84" t="n"/>
      <c r="O56" s="84" t="n"/>
    </row>
    <row r="57" ht="15" customHeight="1" s="83">
      <c r="A57" s="84" t="n"/>
      <c r="B57" s="84" t="n"/>
      <c r="C57" s="84" t="n"/>
      <c r="D57" s="84" t="n"/>
      <c r="E57" s="84" t="n"/>
      <c r="F57" s="84" t="n"/>
      <c r="G57" s="84" t="n"/>
      <c r="H57" s="84" t="n"/>
      <c r="I57" s="84" t="n"/>
      <c r="J57" s="84" t="n"/>
      <c r="K57" s="84" t="n"/>
      <c r="L57" s="84" t="n"/>
      <c r="M57" s="84" t="n"/>
      <c r="N57" s="84" t="n"/>
      <c r="O57" s="84" t="n"/>
    </row>
    <row r="58" ht="15" customHeight="1" s="83">
      <c r="A58" s="84" t="n"/>
      <c r="B58" s="84" t="n"/>
      <c r="C58" s="84" t="n"/>
      <c r="D58" s="84" t="n"/>
      <c r="E58" s="84" t="n"/>
      <c r="F58" s="84" t="n"/>
      <c r="G58" s="84" t="n"/>
      <c r="H58" s="84" t="n"/>
      <c r="I58" s="84" t="n"/>
      <c r="J58" s="84" t="n"/>
      <c r="K58" s="84" t="n"/>
      <c r="L58" s="84" t="n"/>
      <c r="M58" s="84" t="n"/>
      <c r="N58" s="84" t="n"/>
      <c r="O58" s="84" t="n"/>
    </row>
    <row r="59" ht="15" customHeight="1" s="83">
      <c r="A59" s="84" t="n"/>
      <c r="B59" s="84" t="n"/>
      <c r="C59" s="84" t="n"/>
      <c r="D59" s="84" t="n"/>
      <c r="E59" s="84" t="n"/>
      <c r="F59" s="84" t="n"/>
      <c r="G59" s="84" t="n"/>
      <c r="H59" s="84" t="n"/>
      <c r="I59" s="84" t="n"/>
      <c r="J59" s="84" t="n"/>
      <c r="K59" s="84" t="n"/>
      <c r="L59" s="84" t="n"/>
      <c r="M59" s="84" t="n"/>
      <c r="N59" s="84" t="n"/>
      <c r="O59" s="84" t="n"/>
    </row>
    <row r="60" ht="15" customHeight="1" s="83">
      <c r="A60" s="84" t="n"/>
      <c r="B60" s="84" t="n"/>
      <c r="C60" s="84" t="n"/>
      <c r="D60" s="84" t="n"/>
      <c r="E60" s="84" t="n"/>
      <c r="F60" s="84" t="n"/>
      <c r="G60" s="84" t="n"/>
      <c r="H60" s="84" t="n"/>
      <c r="I60" s="84" t="n"/>
      <c r="J60" s="84" t="n"/>
      <c r="K60" s="84" t="n"/>
      <c r="L60" s="84" t="n"/>
      <c r="M60" s="84" t="n"/>
      <c r="N60" s="84" t="n"/>
      <c r="O60" s="84" t="n"/>
    </row>
    <row r="61" ht="15" customHeight="1" s="83">
      <c r="A61" s="84" t="n"/>
      <c r="B61" s="84" t="n"/>
      <c r="C61" s="84" t="n"/>
      <c r="D61" s="84" t="n"/>
      <c r="E61" s="84" t="n"/>
      <c r="F61" s="84" t="n"/>
      <c r="G61" s="84" t="n"/>
      <c r="H61" s="84" t="n"/>
      <c r="I61" s="84" t="n"/>
      <c r="J61" s="84" t="n"/>
      <c r="K61" s="84" t="n"/>
      <c r="L61" s="84" t="n"/>
      <c r="M61" s="84" t="n"/>
      <c r="N61" s="84" t="n"/>
      <c r="O61" s="84" t="n"/>
    </row>
    <row r="62" ht="15" customHeight="1" s="83">
      <c r="A62" s="84" t="n"/>
      <c r="B62" s="84" t="n"/>
      <c r="C62" s="84" t="n"/>
      <c r="D62" s="84" t="n"/>
      <c r="E62" s="84" t="n"/>
      <c r="F62" s="84" t="n"/>
      <c r="G62" s="84" t="n"/>
      <c r="H62" s="84" t="n"/>
      <c r="I62" s="84" t="n"/>
      <c r="J62" s="84" t="n"/>
      <c r="K62" s="84" t="n"/>
      <c r="L62" s="84" t="n"/>
      <c r="M62" s="84" t="n"/>
      <c r="N62" s="84" t="n"/>
      <c r="O62" s="84" t="n"/>
    </row>
    <row r="63" ht="15" customHeight="1" s="83">
      <c r="A63" s="84" t="n"/>
      <c r="B63" s="84" t="n"/>
      <c r="C63" s="84" t="n"/>
      <c r="D63" s="84" t="n"/>
      <c r="E63" s="84" t="n"/>
      <c r="F63" s="84" t="n"/>
      <c r="G63" s="84" t="n"/>
      <c r="H63" s="84" t="n"/>
      <c r="I63" s="84" t="n"/>
      <c r="J63" s="84" t="n"/>
      <c r="K63" s="84" t="n"/>
      <c r="L63" s="84" t="n"/>
      <c r="M63" s="84" t="n"/>
      <c r="N63" s="84" t="n"/>
      <c r="O63" s="84" t="n"/>
    </row>
    <row r="64" ht="15" customHeight="1" s="83">
      <c r="A64" s="84" t="n"/>
      <c r="B64" s="84" t="n"/>
      <c r="C64" s="84" t="n"/>
      <c r="D64" s="84" t="n"/>
      <c r="E64" s="84" t="n"/>
      <c r="F64" s="84" t="n"/>
      <c r="G64" s="84" t="n"/>
      <c r="H64" s="84" t="n"/>
      <c r="I64" s="84" t="n"/>
      <c r="J64" s="84" t="n"/>
      <c r="K64" s="84" t="n"/>
      <c r="L64" s="84" t="n"/>
      <c r="M64" s="84" t="n"/>
      <c r="N64" s="84" t="n"/>
      <c r="O64" s="84" t="n"/>
    </row>
    <row r="65" ht="15" customHeight="1" s="83">
      <c r="A65" s="84" t="n"/>
      <c r="B65" s="84" t="n"/>
      <c r="C65" s="84" t="n"/>
      <c r="D65" s="84" t="n"/>
      <c r="E65" s="84" t="n"/>
      <c r="F65" s="84" t="n"/>
      <c r="G65" s="84" t="n"/>
      <c r="H65" s="84" t="n"/>
      <c r="I65" s="84" t="n"/>
      <c r="J65" s="84" t="n"/>
      <c r="K65" s="84" t="n"/>
      <c r="L65" s="84" t="n"/>
      <c r="M65" s="84" t="n"/>
      <c r="N65" s="84" t="n"/>
      <c r="O65" s="84" t="n"/>
    </row>
    <row r="66" ht="15" customHeight="1" s="83">
      <c r="A66" s="84" t="n"/>
      <c r="B66" s="84" t="n"/>
      <c r="C66" s="84" t="n"/>
      <c r="D66" s="84" t="n"/>
      <c r="E66" s="84" t="n"/>
      <c r="F66" s="84" t="n"/>
      <c r="G66" s="84" t="n"/>
      <c r="H66" s="84" t="n"/>
      <c r="I66" s="84" t="n"/>
      <c r="J66" s="84" t="n"/>
      <c r="K66" s="84" t="n"/>
      <c r="L66" s="84" t="n"/>
      <c r="M66" s="84" t="n"/>
      <c r="N66" s="84" t="n"/>
      <c r="O66" s="84" t="n"/>
    </row>
    <row r="67" ht="15" customHeight="1" s="83">
      <c r="A67" s="84" t="n"/>
      <c r="B67" s="84" t="n"/>
      <c r="C67" s="84" t="n"/>
      <c r="D67" s="84" t="n"/>
      <c r="E67" s="84" t="n"/>
      <c r="F67" s="84" t="n"/>
      <c r="G67" s="84" t="n"/>
      <c r="H67" s="84" t="n"/>
      <c r="I67" s="84" t="n"/>
      <c r="J67" s="84" t="n"/>
      <c r="K67" s="84" t="n"/>
      <c r="L67" s="84" t="n"/>
      <c r="M67" s="84" t="n"/>
      <c r="N67" s="84" t="n"/>
      <c r="O67" s="84" t="n"/>
    </row>
    <row r="68" ht="15" customHeight="1" s="83">
      <c r="A68" s="84" t="n"/>
      <c r="B68" s="84" t="n"/>
      <c r="C68" s="84" t="n"/>
      <c r="D68" s="84" t="n"/>
      <c r="E68" s="84" t="n"/>
      <c r="F68" s="84" t="n"/>
      <c r="G68" s="84" t="n"/>
      <c r="H68" s="84" t="n"/>
      <c r="I68" s="84" t="n"/>
      <c r="J68" s="84" t="n"/>
      <c r="K68" s="84" t="n"/>
      <c r="L68" s="84" t="n"/>
      <c r="M68" s="84" t="n"/>
      <c r="N68" s="84" t="n"/>
      <c r="O68" s="84" t="n"/>
    </row>
    <row r="69" ht="15" customHeight="1" s="83">
      <c r="A69" s="84" t="n"/>
      <c r="B69" s="84" t="n"/>
      <c r="C69" s="84" t="n"/>
      <c r="D69" s="84" t="n"/>
      <c r="E69" s="84" t="n"/>
      <c r="F69" s="84" t="n"/>
      <c r="G69" s="84" t="n"/>
      <c r="H69" s="84" t="n"/>
      <c r="I69" s="84" t="n"/>
      <c r="J69" s="84" t="n"/>
      <c r="K69" s="84" t="n"/>
      <c r="L69" s="84" t="n"/>
      <c r="M69" s="84" t="n"/>
      <c r="N69" s="84" t="n"/>
      <c r="O69" s="84" t="n"/>
    </row>
    <row r="70" ht="15" customHeight="1" s="83">
      <c r="A70" s="84" t="n"/>
      <c r="B70" s="84" t="n"/>
      <c r="C70" s="84" t="n"/>
      <c r="D70" s="84" t="n"/>
      <c r="E70" s="84" t="n"/>
      <c r="F70" s="84" t="n"/>
      <c r="G70" s="84" t="n"/>
      <c r="H70" s="84" t="n"/>
      <c r="I70" s="84" t="n"/>
      <c r="J70" s="84" t="n"/>
      <c r="K70" s="84" t="n"/>
      <c r="L70" s="84" t="n"/>
      <c r="M70" s="84" t="n"/>
      <c r="N70" s="84" t="n"/>
      <c r="O70" s="84" t="n"/>
    </row>
  </sheetData>
  <sheetProtection selectLockedCells="0" selectUnlockedCells="0" sheet="1" objects="1" insertRows="1" insertHyperlinks="1" autoFilter="0" scenarios="1" formatColumns="0" deleteColumns="1" insertColumns="1" pivotTables="1" deleteRows="1" formatCells="0" formatRows="0" sort="0"/>
  <mergeCells count="23">
    <mergeCell ref="L2:M2"/>
    <mergeCell ref="F4:G4"/>
    <mergeCell ref="C5:D5"/>
    <mergeCell ref="C15:M15"/>
    <mergeCell ref="L13:M13"/>
    <mergeCell ref="C4:D4"/>
    <mergeCell ref="C2:H2"/>
    <mergeCell ref="F12:G12"/>
    <mergeCell ref="L12:M12"/>
    <mergeCell ref="C10:G10"/>
    <mergeCell ref="F5:G5"/>
    <mergeCell ref="C9:G9"/>
    <mergeCell ref="C12:D12"/>
    <mergeCell ref="I12:J12"/>
    <mergeCell ref="I9:K9"/>
    <mergeCell ref="F13:G13"/>
    <mergeCell ref="C8:G8"/>
    <mergeCell ref="I8:M8"/>
    <mergeCell ref="L9:M9"/>
    <mergeCell ref="C38:M38"/>
    <mergeCell ref="I10:M10"/>
    <mergeCell ref="C13:D13"/>
    <mergeCell ref="I13:J13"/>
  </mergeCells>
  <dataValidations count="1">
    <dataValidation sqref="C5" showDropDown="0" showInputMessage="0" showErrorMessage="0" allowBlank="0" type="list" errorStyle="stop" operator="between">
      <formula1>"Snowball,Avalanche"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tabColor rgb="002D8C6F"/>
    <outlinePr summaryBelow="1" summaryRight="1"/>
    <pageSetUpPr fitToPage="0"/>
  </sheetPr>
  <dimension ref="A1:J55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" customWidth="1" style="82" min="1" max="1"/>
    <col width="26" customWidth="1" style="82" min="2" max="2"/>
    <col width="18" customWidth="1" style="82" min="3" max="3"/>
    <col width="14" customWidth="1" style="82" min="4" max="4"/>
    <col width="20" customWidth="1" style="82" min="5" max="6"/>
    <col width="26" customWidth="1" style="82" min="7" max="7"/>
    <col width="4" customWidth="1" style="82" min="8" max="8"/>
    <col width="18" customWidth="1" style="82" min="9" max="10"/>
  </cols>
  <sheetData>
    <row r="1" ht="15" customHeight="1" s="83">
      <c r="A1" s="84" t="n"/>
      <c r="B1" s="84" t="n"/>
      <c r="C1" s="84" t="n"/>
      <c r="D1" s="84" t="n"/>
      <c r="E1" s="84" t="n"/>
      <c r="F1" s="84" t="n"/>
      <c r="G1" s="84" t="n"/>
      <c r="H1" s="84" t="n"/>
      <c r="I1" s="84" t="n"/>
      <c r="J1" s="84" t="n"/>
    </row>
    <row r="2" ht="43.5" customHeight="1" s="83">
      <c r="A2" s="84" t="n"/>
      <c r="B2" s="132" t="inlineStr">
        <is>
          <t>●  ENTER YOUR DEBTS</t>
        </is>
      </c>
      <c r="C2" s="85" t="n"/>
      <c r="D2" s="85" t="n"/>
      <c r="E2" s="85" t="n"/>
      <c r="F2" s="85" t="n"/>
      <c r="G2" s="85" t="n"/>
      <c r="H2" s="85" t="n"/>
      <c r="I2" s="85" t="n"/>
      <c r="J2" s="85" t="n"/>
    </row>
    <row r="3" ht="15" customHeight="1" s="83">
      <c r="A3" s="84" t="n"/>
      <c r="B3" s="84" t="n"/>
      <c r="C3" s="84" t="n"/>
      <c r="D3" s="84" t="n"/>
      <c r="E3" s="84" t="n"/>
      <c r="F3" s="84" t="n"/>
      <c r="G3" s="84" t="n"/>
      <c r="H3" s="84" t="n"/>
      <c r="I3" s="84" t="n"/>
      <c r="J3" s="84" t="n"/>
    </row>
    <row r="4" ht="15" customHeight="1" s="83">
      <c r="A4" s="84" t="n"/>
      <c r="B4" s="133" t="inlineStr">
        <is>
          <t>Replace sample data with your own. Blue text = editable.</t>
        </is>
      </c>
      <c r="C4" s="84" t="n"/>
      <c r="D4" s="84" t="n"/>
      <c r="E4" s="84" t="n"/>
      <c r="F4" s="84" t="n"/>
      <c r="G4" s="84" t="n"/>
      <c r="H4" s="84" t="n"/>
      <c r="I4" s="84" t="n"/>
      <c r="J4" s="84" t="n"/>
    </row>
    <row r="5" ht="15" customHeight="1" s="83">
      <c r="A5" s="84" t="n"/>
      <c r="B5" s="134" t="inlineStr">
        <is>
          <t>Highlighted cells = your input  ·  Everything else auto-calculates</t>
        </is>
      </c>
      <c r="C5" s="84" t="n"/>
      <c r="D5" s="84" t="n"/>
      <c r="E5" s="84" t="n"/>
      <c r="F5" s="84" t="n"/>
      <c r="G5" s="84" t="n"/>
      <c r="H5" s="84" t="n"/>
      <c r="I5" s="84" t="n"/>
      <c r="J5" s="84" t="n"/>
    </row>
    <row r="6" ht="27.75" customHeight="1" s="83">
      <c r="A6" s="84" t="n"/>
      <c r="B6" s="135" t="inlineStr">
        <is>
          <t>DEBT NAME</t>
        </is>
      </c>
      <c r="C6" s="135" t="inlineStr">
        <is>
          <t>BALANCE OWED</t>
        </is>
      </c>
      <c r="D6" s="135" t="inlineStr">
        <is>
          <t>APR (%)</t>
        </is>
      </c>
      <c r="E6" s="135" t="inlineStr">
        <is>
          <t>MIN MONTHLY PMT</t>
        </is>
      </c>
      <c r="F6" s="135" t="inlineStr">
        <is>
          <t>TYPE</t>
        </is>
      </c>
      <c r="G6" s="135" t="inlineStr">
        <is>
          <t>LENDER / NOTES</t>
        </is>
      </c>
      <c r="H6" s="84" t="n"/>
      <c r="I6" s="136" t="inlineStr">
        <is>
          <t>━━  SUMMARY  ━━</t>
        </is>
      </c>
    </row>
    <row r="7" ht="15" customHeight="1" s="83">
      <c r="A7" s="84" t="n"/>
      <c r="B7" s="84" t="n"/>
      <c r="C7" s="84" t="n"/>
      <c r="D7" s="84" t="n"/>
      <c r="E7" s="84" t="n"/>
      <c r="F7" s="84" t="n"/>
      <c r="G7" s="84" t="n"/>
      <c r="H7" s="84" t="n"/>
      <c r="I7" s="84" t="n"/>
      <c r="J7" s="84" t="n"/>
    </row>
    <row r="8" ht="27.75" customHeight="1" s="83">
      <c r="A8" s="84" t="n"/>
      <c r="B8" s="137" t="n"/>
      <c r="C8" s="138" t="n"/>
      <c r="D8" s="139" t="n"/>
      <c r="E8" s="138" t="n"/>
      <c r="F8" s="140" t="n"/>
      <c r="G8" s="140" t="n"/>
      <c r="H8" s="84" t="n"/>
      <c r="I8" s="141">
        <f>SUMIF(C8:C27,"&gt;"&amp;0,C8:C27)</f>
        <v/>
      </c>
      <c r="J8" s="142" t="inlineStr">
        <is>
          <t>Total Debt</t>
        </is>
      </c>
    </row>
    <row r="9" ht="27.75" customHeight="1" s="83">
      <c r="A9" s="84" t="n"/>
      <c r="B9" s="137" t="n"/>
      <c r="C9" s="138" t="n"/>
      <c r="D9" s="139" t="n"/>
      <c r="E9" s="138" t="n"/>
      <c r="F9" s="140" t="n"/>
      <c r="G9" s="140" t="n"/>
      <c r="H9" s="84" t="n"/>
      <c r="I9" s="143">
        <f>SUMIF(C8:C27,"&gt;"&amp;0,E8:E27)</f>
        <v/>
      </c>
      <c r="J9" s="144" t="inlineStr">
        <is>
          <t>Total Min Payments</t>
        </is>
      </c>
    </row>
    <row r="10" ht="27.75" customHeight="1" s="83">
      <c r="A10" s="84" t="n"/>
      <c r="B10" s="137" t="n"/>
      <c r="C10" s="138" t="n"/>
      <c r="D10" s="139" t="n"/>
      <c r="E10" s="138" t="n"/>
      <c r="F10" s="140" t="n"/>
      <c r="G10" s="140" t="n"/>
      <c r="H10" s="84" t="n"/>
      <c r="I10" s="145">
        <f>IF(I8&gt;0,SUMPRODUCT((C8:C27&gt;0)*C8:C27*D8:D27)/I8,0)</f>
        <v/>
      </c>
      <c r="J10" s="142" t="inlineStr">
        <is>
          <t>Weighted Avg APR</t>
        </is>
      </c>
    </row>
    <row r="11" ht="27.75" customHeight="1" s="83">
      <c r="A11" s="84" t="n"/>
      <c r="B11" s="137" t="n"/>
      <c r="C11" s="138" t="n"/>
      <c r="D11" s="139" t="n"/>
      <c r="E11" s="138" t="n"/>
      <c r="F11" s="140" t="n"/>
      <c r="G11" s="140" t="n"/>
      <c r="H11" s="84" t="n"/>
      <c r="I11" s="146">
        <f>COUNTIF(C8:C27,"&gt;"&amp;0)</f>
        <v/>
      </c>
      <c r="J11" s="144" t="inlineStr">
        <is>
          <t>Active Debts</t>
        </is>
      </c>
    </row>
    <row r="12" ht="27.75" customHeight="1" s="83">
      <c r="A12" s="84" t="n"/>
      <c r="B12" s="137" t="n"/>
      <c r="C12" s="138" t="n"/>
      <c r="D12" s="139" t="n"/>
      <c r="E12" s="138" t="n"/>
      <c r="F12" s="140" t="n"/>
      <c r="G12" s="140" t="n"/>
      <c r="H12" s="84" t="n"/>
      <c r="I12" s="84" t="n"/>
      <c r="J12" s="84" t="n"/>
    </row>
    <row r="13" ht="27.75" customHeight="1" s="83">
      <c r="A13" s="84" t="n"/>
      <c r="B13" s="137" t="n"/>
      <c r="C13" s="138" t="n"/>
      <c r="D13" s="139" t="n"/>
      <c r="E13" s="138" t="n"/>
      <c r="F13" s="140" t="n"/>
      <c r="G13" s="140" t="n"/>
      <c r="H13" s="84" t="n"/>
      <c r="I13" s="84" t="n"/>
      <c r="J13" s="84" t="n"/>
    </row>
    <row r="14" ht="27.75" customHeight="1" s="83">
      <c r="A14" s="84" t="n"/>
      <c r="B14" s="137" t="n"/>
      <c r="C14" s="138" t="n"/>
      <c r="D14" s="139" t="n"/>
      <c r="E14" s="138" t="n"/>
      <c r="F14" s="140" t="n"/>
      <c r="G14" s="140" t="n"/>
      <c r="H14" s="84" t="n"/>
      <c r="I14" s="84" t="n"/>
      <c r="J14" s="84" t="n"/>
    </row>
    <row r="15" ht="27.75" customHeight="1" s="83">
      <c r="A15" s="84" t="n"/>
      <c r="B15" s="137" t="n"/>
      <c r="C15" s="138" t="n"/>
      <c r="D15" s="139" t="n"/>
      <c r="E15" s="138" t="n"/>
      <c r="F15" s="140" t="n"/>
      <c r="G15" s="140" t="n"/>
      <c r="H15" s="84" t="n"/>
      <c r="I15" s="84" t="n"/>
      <c r="J15" s="84" t="n"/>
    </row>
    <row r="16" ht="27.75" customHeight="1" s="83">
      <c r="A16" s="84" t="n"/>
      <c r="B16" s="137" t="n"/>
      <c r="C16" s="138" t="n"/>
      <c r="D16" s="139" t="n"/>
      <c r="E16" s="138" t="n"/>
      <c r="F16" s="140" t="n"/>
      <c r="G16" s="140" t="n"/>
      <c r="H16" s="84" t="n"/>
      <c r="I16" s="84" t="n"/>
      <c r="J16" s="84" t="n"/>
    </row>
    <row r="17" ht="27.75" customHeight="1" s="83">
      <c r="A17" s="84" t="n"/>
      <c r="B17" s="137" t="n"/>
      <c r="C17" s="138" t="n"/>
      <c r="D17" s="139" t="n"/>
      <c r="E17" s="138" t="n"/>
      <c r="F17" s="140" t="n"/>
      <c r="G17" s="140" t="n"/>
      <c r="H17" s="84" t="n"/>
      <c r="I17" s="84" t="n"/>
      <c r="J17" s="84" t="n"/>
    </row>
    <row r="18" ht="27.75" customHeight="1" s="83">
      <c r="A18" s="84" t="n"/>
      <c r="B18" s="137" t="n"/>
      <c r="C18" s="138" t="n"/>
      <c r="D18" s="139" t="n"/>
      <c r="E18" s="138" t="n"/>
      <c r="F18" s="140" t="n"/>
      <c r="G18" s="140" t="n"/>
      <c r="H18" s="84" t="n"/>
      <c r="I18" s="84" t="n"/>
      <c r="J18" s="84" t="n"/>
    </row>
    <row r="19" ht="27.75" customHeight="1" s="83">
      <c r="A19" s="84" t="n"/>
      <c r="B19" s="137" t="n"/>
      <c r="C19" s="138" t="n"/>
      <c r="D19" s="139" t="n"/>
      <c r="E19" s="138" t="n"/>
      <c r="F19" s="140" t="n"/>
      <c r="G19" s="140" t="n"/>
      <c r="H19" s="84" t="n"/>
      <c r="I19" s="84" t="n"/>
      <c r="J19" s="84" t="n"/>
    </row>
    <row r="20" ht="27.75" customHeight="1" s="83">
      <c r="A20" s="84" t="n"/>
      <c r="B20" s="137" t="n"/>
      <c r="C20" s="138" t="n"/>
      <c r="D20" s="139" t="n"/>
      <c r="E20" s="138" t="n"/>
      <c r="F20" s="140" t="n"/>
      <c r="G20" s="140" t="n"/>
      <c r="H20" s="84" t="n"/>
      <c r="I20" s="84" t="n"/>
      <c r="J20" s="84" t="n"/>
    </row>
    <row r="21" ht="27.75" customHeight="1" s="83">
      <c r="A21" s="84" t="n"/>
      <c r="B21" s="137" t="n"/>
      <c r="C21" s="138" t="n"/>
      <c r="D21" s="139" t="n"/>
      <c r="E21" s="138" t="n"/>
      <c r="F21" s="140" t="n"/>
      <c r="G21" s="140" t="n"/>
      <c r="H21" s="84" t="n"/>
      <c r="I21" s="84" t="n"/>
      <c r="J21" s="84" t="n"/>
    </row>
    <row r="22" ht="27.75" customHeight="1" s="83">
      <c r="A22" s="84" t="n"/>
      <c r="B22" s="137" t="n"/>
      <c r="C22" s="138" t="n"/>
      <c r="D22" s="139" t="n"/>
      <c r="E22" s="138" t="n"/>
      <c r="F22" s="140" t="n"/>
      <c r="G22" s="140" t="n"/>
      <c r="H22" s="84" t="n"/>
      <c r="I22" s="84" t="n"/>
      <c r="J22" s="84" t="n"/>
    </row>
    <row r="23" ht="27.75" customHeight="1" s="83">
      <c r="A23" s="84" t="n"/>
      <c r="B23" s="137" t="n"/>
      <c r="C23" s="138" t="n"/>
      <c r="D23" s="139" t="n"/>
      <c r="E23" s="138" t="n"/>
      <c r="F23" s="140" t="n"/>
      <c r="G23" s="140" t="n"/>
      <c r="H23" s="84" t="n"/>
      <c r="I23" s="84" t="n"/>
      <c r="J23" s="84" t="n"/>
    </row>
    <row r="24" ht="27.75" customHeight="1" s="83">
      <c r="A24" s="84" t="n"/>
      <c r="B24" s="137" t="n"/>
      <c r="C24" s="138" t="n"/>
      <c r="D24" s="139" t="n"/>
      <c r="E24" s="138" t="n"/>
      <c r="F24" s="140" t="n"/>
      <c r="G24" s="140" t="n"/>
      <c r="H24" s="84" t="n"/>
      <c r="I24" s="84" t="n"/>
      <c r="J24" s="84" t="n"/>
    </row>
    <row r="25" ht="27.75" customHeight="1" s="83">
      <c r="A25" s="84" t="n"/>
      <c r="B25" s="137" t="n"/>
      <c r="C25" s="138" t="n"/>
      <c r="D25" s="139" t="n"/>
      <c r="E25" s="138" t="n"/>
      <c r="F25" s="140" t="n"/>
      <c r="G25" s="140" t="n"/>
      <c r="H25" s="84" t="n"/>
      <c r="I25" s="84" t="n"/>
      <c r="J25" s="84" t="n"/>
    </row>
    <row r="26" ht="27.75" customHeight="1" s="83">
      <c r="A26" s="84" t="n"/>
      <c r="B26" s="137" t="n"/>
      <c r="C26" s="138" t="n"/>
      <c r="D26" s="139" t="n"/>
      <c r="E26" s="138" t="n"/>
      <c r="F26" s="140" t="n"/>
      <c r="G26" s="140" t="n"/>
      <c r="H26" s="84" t="n"/>
      <c r="I26" s="84" t="n"/>
      <c r="J26" s="84" t="n"/>
    </row>
    <row r="27" ht="27.75" customHeight="1" s="83">
      <c r="A27" s="84" t="n"/>
      <c r="B27" s="137" t="n"/>
      <c r="C27" s="138" t="n"/>
      <c r="D27" s="139" t="n"/>
      <c r="E27" s="138" t="n"/>
      <c r="F27" s="140" t="n"/>
      <c r="G27" s="140" t="n"/>
      <c r="H27" s="84" t="n"/>
      <c r="I27" s="84" t="n"/>
      <c r="J27" s="84" t="n"/>
    </row>
    <row r="28" ht="15" customHeight="1" s="83">
      <c r="A28" s="84" t="n"/>
      <c r="B28" s="84" t="n"/>
      <c r="C28" s="84" t="n"/>
      <c r="D28" s="84" t="n"/>
      <c r="E28" s="84" t="n"/>
      <c r="F28" s="84" t="n"/>
      <c r="G28" s="84" t="n"/>
      <c r="H28" s="84" t="n"/>
      <c r="I28" s="84" t="n"/>
      <c r="J28" s="84" t="n"/>
    </row>
    <row r="29" ht="15" customHeight="1" s="83">
      <c r="A29" s="84" t="n"/>
      <c r="B29" s="84" t="n"/>
      <c r="C29" s="84" t="n"/>
      <c r="D29" s="84" t="n"/>
      <c r="E29" s="84" t="n"/>
      <c r="F29" s="84" t="n"/>
      <c r="G29" s="84" t="n"/>
      <c r="H29" s="84" t="n"/>
      <c r="I29" s="84" t="n"/>
      <c r="J29" s="84" t="n"/>
    </row>
    <row r="30" ht="15" customHeight="1" s="83">
      <c r="A30" s="84" t="n"/>
      <c r="B30" s="147" t="inlineStr">
        <is>
          <t>— Calculation helpers —</t>
        </is>
      </c>
      <c r="C30" s="84" t="n"/>
      <c r="D30" s="84" t="n"/>
      <c r="E30" s="84" t="n"/>
      <c r="F30" s="84" t="n"/>
      <c r="G30" s="84" t="n"/>
      <c r="H30" s="84" t="n"/>
      <c r="I30" s="93" t="inlineStr">
        <is>
          <t>SnowRk</t>
        </is>
      </c>
      <c r="J30" s="93" t="inlineStr">
        <is>
          <t>AvalRk</t>
        </is>
      </c>
    </row>
    <row r="31" ht="15" customHeight="1" s="83">
      <c r="A31" s="84" t="n"/>
      <c r="B31" s="84" t="n"/>
      <c r="C31" s="84" t="n"/>
      <c r="D31" s="84" t="n"/>
      <c r="E31" s="84" t="n"/>
      <c r="F31" s="84" t="n"/>
      <c r="G31" s="84" t="n"/>
      <c r="H31" s="84" t="n"/>
      <c r="I31" s="84">
        <f>IF(C8="",99,IF(C8&lt;=0,99,RANK(C8,C$8:C$27,1)+COUNTIFS(C$8:C$27,C8,D$8:D$27,"&gt;"&amp;D8)))</f>
        <v/>
      </c>
      <c r="J31" s="84">
        <f>IF(C8="",99,IF(C8&lt;=0,99,RANK(D8,D$8:D$27,0)+COUNTIFS(D$8:D$27,D8,C$8:C$27,"&lt;"&amp;C8)))</f>
        <v/>
      </c>
    </row>
    <row r="32" ht="15" customHeight="1" s="83">
      <c r="A32" s="84" t="n"/>
      <c r="B32" s="84" t="n"/>
      <c r="C32" s="84" t="n"/>
      <c r="D32" s="84" t="n"/>
      <c r="E32" s="84" t="n"/>
      <c r="F32" s="84" t="n"/>
      <c r="G32" s="84" t="n"/>
      <c r="H32" s="84" t="n"/>
      <c r="I32" s="84">
        <f>IF(C9="",99,IF(C9&lt;=0,99,RANK(C9,C$8:C$27,1)+COUNTIFS(C$8:C$27,C9,D$8:D$27,"&gt;"&amp;D9)))</f>
        <v/>
      </c>
      <c r="J32" s="84">
        <f>IF(C9="",99,IF(C9&lt;=0,99,RANK(D9,D$8:D$27,0)+COUNTIFS(D$8:D$27,D9,C$8:C$27,"&lt;"&amp;C9)))</f>
        <v/>
      </c>
    </row>
    <row r="33" ht="15" customHeight="1" s="83">
      <c r="A33" s="84" t="n"/>
      <c r="B33" s="84" t="n"/>
      <c r="C33" s="84" t="n"/>
      <c r="D33" s="84" t="n"/>
      <c r="E33" s="84" t="n"/>
      <c r="F33" s="84" t="n"/>
      <c r="G33" s="84" t="n"/>
      <c r="H33" s="84" t="n"/>
      <c r="I33" s="84">
        <f>IF(C10="",99,IF(C10&lt;=0,99,RANK(C10,C$8:C$27,1)+COUNTIFS(C$8:C$27,C10,D$8:D$27,"&gt;"&amp;D10)))</f>
        <v/>
      </c>
      <c r="J33" s="84">
        <f>IF(C10="",99,IF(C10&lt;=0,99,RANK(D10,D$8:D$27,0)+COUNTIFS(D$8:D$27,D10,C$8:C$27,"&lt;"&amp;C10)))</f>
        <v/>
      </c>
    </row>
    <row r="34" ht="15" customHeight="1" s="83">
      <c r="A34" s="84" t="n"/>
      <c r="B34" s="84" t="n"/>
      <c r="C34" s="84" t="n"/>
      <c r="D34" s="84" t="n"/>
      <c r="E34" s="84" t="n"/>
      <c r="F34" s="84" t="n"/>
      <c r="G34" s="84" t="n"/>
      <c r="H34" s="84" t="n"/>
      <c r="I34" s="84">
        <f>IF(C11="",99,IF(C11&lt;=0,99,RANK(C11,C$8:C$27,1)+COUNTIFS(C$8:C$27,C11,D$8:D$27,"&gt;"&amp;D11)))</f>
        <v/>
      </c>
      <c r="J34" s="84">
        <f>IF(C11="",99,IF(C11&lt;=0,99,RANK(D11,D$8:D$27,0)+COUNTIFS(D$8:D$27,D11,C$8:C$27,"&lt;"&amp;C11)))</f>
        <v/>
      </c>
    </row>
    <row r="35" ht="15" customHeight="1" s="83">
      <c r="A35" s="84" t="n"/>
      <c r="B35" s="84" t="n"/>
      <c r="C35" s="84" t="n"/>
      <c r="D35" s="84" t="n"/>
      <c r="E35" s="84" t="n"/>
      <c r="F35" s="84" t="n"/>
      <c r="G35" s="84" t="n"/>
      <c r="H35" s="84" t="n"/>
      <c r="I35" s="84">
        <f>IF(C12="",99,IF(C12&lt;=0,99,RANK(C12,C$8:C$27,1)+COUNTIFS(C$8:C$27,C12,D$8:D$27,"&gt;"&amp;D12)))</f>
        <v/>
      </c>
      <c r="J35" s="84">
        <f>IF(C12="",99,IF(C12&lt;=0,99,RANK(D12,D$8:D$27,0)+COUNTIFS(D$8:D$27,D12,C$8:C$27,"&lt;"&amp;C12)))</f>
        <v/>
      </c>
    </row>
    <row r="36" ht="15" customHeight="1" s="83">
      <c r="A36" s="84" t="n"/>
      <c r="B36" s="84" t="n"/>
      <c r="C36" s="84" t="n"/>
      <c r="D36" s="84" t="n"/>
      <c r="E36" s="84" t="n"/>
      <c r="F36" s="84" t="n"/>
      <c r="G36" s="84" t="n"/>
      <c r="H36" s="84" t="n"/>
      <c r="I36" s="84">
        <f>IF(C13="",99,IF(C13&lt;=0,99,RANK(C13,C$8:C$27,1)+COUNTIFS(C$8:C$27,C13,D$8:D$27,"&gt;"&amp;D13)))</f>
        <v/>
      </c>
      <c r="J36" s="84">
        <f>IF(C13="",99,IF(C13&lt;=0,99,RANK(D13,D$8:D$27,0)+COUNTIFS(D$8:D$27,D13,C$8:C$27,"&lt;"&amp;C13)))</f>
        <v/>
      </c>
    </row>
    <row r="37" ht="15" customHeight="1" s="83">
      <c r="A37" s="84" t="n"/>
      <c r="B37" s="84" t="n"/>
      <c r="C37" s="84" t="n"/>
      <c r="D37" s="84" t="n"/>
      <c r="E37" s="84" t="n"/>
      <c r="F37" s="84" t="n"/>
      <c r="G37" s="84" t="n"/>
      <c r="H37" s="84" t="n"/>
      <c r="I37" s="84">
        <f>IF(C14="",99,IF(C14&lt;=0,99,RANK(C14,C$8:C$27,1)+COUNTIFS(C$8:C$27,C14,D$8:D$27,"&gt;"&amp;D14)))</f>
        <v/>
      </c>
      <c r="J37" s="84">
        <f>IF(C14="",99,IF(C14&lt;=0,99,RANK(D14,D$8:D$27,0)+COUNTIFS(D$8:D$27,D14,C$8:C$27,"&lt;"&amp;C14)))</f>
        <v/>
      </c>
    </row>
    <row r="38" ht="15" customHeight="1" s="83">
      <c r="A38" s="84" t="n"/>
      <c r="B38" s="84" t="n"/>
      <c r="C38" s="84" t="n"/>
      <c r="D38" s="84" t="n"/>
      <c r="E38" s="84" t="n"/>
      <c r="F38" s="84" t="n"/>
      <c r="G38" s="84" t="n"/>
      <c r="H38" s="84" t="n"/>
      <c r="I38" s="84">
        <f>IF(C15="",99,IF(C15&lt;=0,99,RANK(C15,C$8:C$27,1)+COUNTIFS(C$8:C$27,C15,D$8:D$27,"&gt;"&amp;D15)))</f>
        <v/>
      </c>
      <c r="J38" s="84">
        <f>IF(C15="",99,IF(C15&lt;=0,99,RANK(D15,D$8:D$27,0)+COUNTIFS(D$8:D$27,D15,C$8:C$27,"&lt;"&amp;C15)))</f>
        <v/>
      </c>
    </row>
    <row r="39" ht="15" customHeight="1" s="83">
      <c r="A39" s="84" t="n"/>
      <c r="B39" s="84" t="n"/>
      <c r="C39" s="84" t="n"/>
      <c r="D39" s="84" t="n"/>
      <c r="E39" s="84" t="n"/>
      <c r="F39" s="84" t="n"/>
      <c r="G39" s="84" t="n"/>
      <c r="H39" s="84" t="n"/>
      <c r="I39" s="84">
        <f>IF(C16="",99,IF(C16&lt;=0,99,RANK(C16,C$8:C$27,1)+COUNTIFS(C$8:C$27,C16,D$8:D$27,"&gt;"&amp;D16)))</f>
        <v/>
      </c>
      <c r="J39" s="84">
        <f>IF(C16="",99,IF(C16&lt;=0,99,RANK(D16,D$8:D$27,0)+COUNTIFS(D$8:D$27,D16,C$8:C$27,"&lt;"&amp;C16)))</f>
        <v/>
      </c>
    </row>
    <row r="40" ht="15" customHeight="1" s="83">
      <c r="A40" s="84" t="n"/>
      <c r="B40" s="84" t="n"/>
      <c r="C40" s="84" t="n"/>
      <c r="D40" s="84" t="n"/>
      <c r="E40" s="84" t="n"/>
      <c r="F40" s="84" t="n"/>
      <c r="G40" s="84" t="n"/>
      <c r="H40" s="84" t="n"/>
      <c r="I40" s="84">
        <f>IF(C17="",99,IF(C17&lt;=0,99,RANK(C17,C$8:C$27,1)+COUNTIFS(C$8:C$27,C17,D$8:D$27,"&gt;"&amp;D17)))</f>
        <v/>
      </c>
      <c r="J40" s="84">
        <f>IF(C17="",99,IF(C17&lt;=0,99,RANK(D17,D$8:D$27,0)+COUNTIFS(D$8:D$27,D17,C$8:C$27,"&lt;"&amp;C17)))</f>
        <v/>
      </c>
    </row>
    <row r="41" ht="15" customHeight="1" s="83">
      <c r="A41" s="84" t="n"/>
      <c r="B41" s="84" t="n"/>
      <c r="C41" s="84" t="n"/>
      <c r="D41" s="84" t="n"/>
      <c r="E41" s="84" t="n"/>
      <c r="F41" s="84" t="n"/>
      <c r="G41" s="84" t="n"/>
      <c r="H41" s="84" t="n"/>
      <c r="I41" s="84">
        <f>IF(C18="",99,IF(C18&lt;=0,99,RANK(C18,C$8:C$27,1)+COUNTIFS(C$8:C$27,C18,D$8:D$27,"&gt;"&amp;D18)))</f>
        <v/>
      </c>
      <c r="J41" s="84">
        <f>IF(C18="",99,IF(C18&lt;=0,99,RANK(D18,D$8:D$27,0)+COUNTIFS(D$8:D$27,D18,C$8:C$27,"&lt;"&amp;C18)))</f>
        <v/>
      </c>
    </row>
    <row r="42" ht="15" customHeight="1" s="83">
      <c r="A42" s="84" t="n"/>
      <c r="B42" s="84" t="n"/>
      <c r="C42" s="84" t="n"/>
      <c r="D42" s="84" t="n"/>
      <c r="E42" s="84" t="n"/>
      <c r="F42" s="84" t="n"/>
      <c r="G42" s="84" t="n"/>
      <c r="H42" s="84" t="n"/>
      <c r="I42" s="84">
        <f>IF(C19="",99,IF(C19&lt;=0,99,RANK(C19,C$8:C$27,1)+COUNTIFS(C$8:C$27,C19,D$8:D$27,"&gt;"&amp;D19)))</f>
        <v/>
      </c>
      <c r="J42" s="84">
        <f>IF(C19="",99,IF(C19&lt;=0,99,RANK(D19,D$8:D$27,0)+COUNTIFS(D$8:D$27,D19,C$8:C$27,"&lt;"&amp;C19)))</f>
        <v/>
      </c>
    </row>
    <row r="43" ht="15" customHeight="1" s="83">
      <c r="A43" s="84" t="n"/>
      <c r="B43" s="84" t="n"/>
      <c r="C43" s="84" t="n"/>
      <c r="D43" s="84" t="n"/>
      <c r="E43" s="84" t="n"/>
      <c r="F43" s="84" t="n"/>
      <c r="G43" s="84" t="n"/>
      <c r="H43" s="84" t="n"/>
      <c r="I43" s="84">
        <f>IF(C20="",99,IF(C20&lt;=0,99,RANK(C20,C$8:C$27,1)+COUNTIFS(C$8:C$27,C20,D$8:D$27,"&gt;"&amp;D20)))</f>
        <v/>
      </c>
      <c r="J43" s="84">
        <f>IF(C20="",99,IF(C20&lt;=0,99,RANK(D20,D$8:D$27,0)+COUNTIFS(D$8:D$27,D20,C$8:C$27,"&lt;"&amp;C20)))</f>
        <v/>
      </c>
    </row>
    <row r="44" ht="15" customHeight="1" s="83">
      <c r="A44" s="84" t="n"/>
      <c r="B44" s="84" t="n"/>
      <c r="C44" s="84" t="n"/>
      <c r="D44" s="84" t="n"/>
      <c r="E44" s="84" t="n"/>
      <c r="F44" s="84" t="n"/>
      <c r="G44" s="84" t="n"/>
      <c r="H44" s="84" t="n"/>
      <c r="I44" s="84">
        <f>IF(C21="",99,IF(C21&lt;=0,99,RANK(C21,C$8:C$27,1)+COUNTIFS(C$8:C$27,C21,D$8:D$27,"&gt;"&amp;D21)))</f>
        <v/>
      </c>
      <c r="J44" s="84">
        <f>IF(C21="",99,IF(C21&lt;=0,99,RANK(D21,D$8:D$27,0)+COUNTIFS(D$8:D$27,D21,C$8:C$27,"&lt;"&amp;C21)))</f>
        <v/>
      </c>
    </row>
    <row r="45" ht="15" customHeight="1" s="83">
      <c r="A45" s="84" t="n"/>
      <c r="B45" s="84" t="n"/>
      <c r="C45" s="84" t="n"/>
      <c r="D45" s="84" t="n"/>
      <c r="E45" s="84" t="n"/>
      <c r="F45" s="84" t="n"/>
      <c r="G45" s="84" t="n"/>
      <c r="H45" s="84" t="n"/>
      <c r="I45" s="84">
        <f>IF(C22="",99,IF(C22&lt;=0,99,RANK(C22,C$8:C$27,1)+COUNTIFS(C$8:C$27,C22,D$8:D$27,"&gt;"&amp;D22)))</f>
        <v/>
      </c>
      <c r="J45" s="84">
        <f>IF(C22="",99,IF(C22&lt;=0,99,RANK(D22,D$8:D$27,0)+COUNTIFS(D$8:D$27,D22,C$8:C$27,"&lt;"&amp;C22)))</f>
        <v/>
      </c>
    </row>
    <row r="46" ht="15" customHeight="1" s="83">
      <c r="A46" s="84" t="n"/>
      <c r="B46" s="84" t="n"/>
      <c r="C46" s="84" t="n"/>
      <c r="D46" s="84" t="n"/>
      <c r="E46" s="84" t="n"/>
      <c r="F46" s="84" t="n"/>
      <c r="G46" s="84" t="n"/>
      <c r="H46" s="84" t="n"/>
      <c r="I46" s="84">
        <f>IF(C23="",99,IF(C23&lt;=0,99,RANK(C23,C$8:C$27,1)+COUNTIFS(C$8:C$27,C23,D$8:D$27,"&gt;"&amp;D23)))</f>
        <v/>
      </c>
      <c r="J46" s="84">
        <f>IF(C23="",99,IF(C23&lt;=0,99,RANK(D23,D$8:D$27,0)+COUNTIFS(D$8:D$27,D23,C$8:C$27,"&lt;"&amp;C23)))</f>
        <v/>
      </c>
    </row>
    <row r="47" ht="15" customHeight="1" s="83">
      <c r="A47" s="84" t="n"/>
      <c r="B47" s="84" t="n"/>
      <c r="C47" s="84" t="n"/>
      <c r="D47" s="84" t="n"/>
      <c r="E47" s="84" t="n"/>
      <c r="F47" s="84" t="n"/>
      <c r="G47" s="84" t="n"/>
      <c r="H47" s="84" t="n"/>
      <c r="I47" s="84">
        <f>IF(C24="",99,IF(C24&lt;=0,99,RANK(C24,C$8:C$27,1)+COUNTIFS(C$8:C$27,C24,D$8:D$27,"&gt;"&amp;D24)))</f>
        <v/>
      </c>
      <c r="J47" s="84">
        <f>IF(C24="",99,IF(C24&lt;=0,99,RANK(D24,D$8:D$27,0)+COUNTIFS(D$8:D$27,D24,C$8:C$27,"&lt;"&amp;C24)))</f>
        <v/>
      </c>
    </row>
    <row r="48" ht="15" customHeight="1" s="83">
      <c r="A48" s="84" t="n"/>
      <c r="B48" s="84" t="n"/>
      <c r="C48" s="84" t="n"/>
      <c r="D48" s="84" t="n"/>
      <c r="E48" s="84" t="n"/>
      <c r="F48" s="84" t="n"/>
      <c r="G48" s="84" t="n"/>
      <c r="H48" s="84" t="n"/>
      <c r="I48" s="84">
        <f>IF(C25="",99,IF(C25&lt;=0,99,RANK(C25,C$8:C$27,1)+COUNTIFS(C$8:C$27,C25,D$8:D$27,"&gt;"&amp;D25)))</f>
        <v/>
      </c>
      <c r="J48" s="84">
        <f>IF(C25="",99,IF(C25&lt;=0,99,RANK(D25,D$8:D$27,0)+COUNTIFS(D$8:D$27,D25,C$8:C$27,"&lt;"&amp;C25)))</f>
        <v/>
      </c>
    </row>
    <row r="49" ht="15" customHeight="1" s="83">
      <c r="A49" s="84" t="n"/>
      <c r="B49" s="84" t="n"/>
      <c r="C49" s="84" t="n"/>
      <c r="D49" s="84" t="n"/>
      <c r="E49" s="84" t="n"/>
      <c r="F49" s="84" t="n"/>
      <c r="G49" s="84" t="n"/>
      <c r="H49" s="84" t="n"/>
      <c r="I49" s="84">
        <f>IF(C26="",99,IF(C26&lt;=0,99,RANK(C26,C$8:C$27,1)+COUNTIFS(C$8:C$27,C26,D$8:D$27,"&gt;"&amp;D26)))</f>
        <v/>
      </c>
      <c r="J49" s="84">
        <f>IF(C26="",99,IF(C26&lt;=0,99,RANK(D26,D$8:D$27,0)+COUNTIFS(D$8:D$27,D26,C$8:C$27,"&lt;"&amp;C26)))</f>
        <v/>
      </c>
    </row>
    <row r="50" ht="15" customHeight="1" s="83">
      <c r="A50" s="84" t="n"/>
      <c r="B50" s="84" t="n"/>
      <c r="C50" s="84" t="n"/>
      <c r="D50" s="84" t="n"/>
      <c r="E50" s="84" t="n"/>
      <c r="F50" s="84" t="n"/>
      <c r="G50" s="84" t="n"/>
      <c r="H50" s="84" t="n"/>
      <c r="I50" s="84">
        <f>IF(C27="",99,IF(C27&lt;=0,99,RANK(C27,C$8:C$27,1)+COUNTIFS(C$8:C$27,C27,D$8:D$27,"&gt;"&amp;D27)))</f>
        <v/>
      </c>
      <c r="J50" s="84">
        <f>IF(C27="",99,IF(C27&lt;=0,99,RANK(D27,D$8:D$27,0)+COUNTIFS(D$8:D$27,D27,C$8:C$27,"&lt;"&amp;C27)))</f>
        <v/>
      </c>
    </row>
    <row r="51" ht="15" customHeight="1" s="83">
      <c r="A51" s="84" t="n"/>
      <c r="B51" s="84" t="n"/>
      <c r="C51" s="84" t="n"/>
      <c r="D51" s="84" t="n"/>
      <c r="E51" s="84" t="n"/>
      <c r="F51" s="84" t="n"/>
      <c r="G51" s="84" t="n"/>
      <c r="H51" s="84" t="n"/>
      <c r="I51" s="84" t="n"/>
      <c r="J51" s="84" t="n"/>
    </row>
    <row r="52" ht="15" customHeight="1" s="83">
      <c r="A52" s="84" t="n"/>
      <c r="B52" s="84" t="n"/>
      <c r="C52" s="84" t="n"/>
      <c r="D52" s="84" t="n"/>
      <c r="E52" s="84" t="n"/>
      <c r="F52" s="84" t="n"/>
      <c r="G52" s="84" t="n"/>
      <c r="H52" s="84" t="n"/>
      <c r="I52" s="84" t="n"/>
      <c r="J52" s="84" t="n"/>
    </row>
    <row r="53" ht="15" customHeight="1" s="83">
      <c r="A53" s="84" t="n"/>
      <c r="B53" s="84" t="n"/>
      <c r="C53" s="84" t="n"/>
      <c r="D53" s="84" t="n"/>
      <c r="E53" s="84" t="n"/>
      <c r="F53" s="84" t="n"/>
      <c r="G53" s="84" t="n"/>
      <c r="H53" s="84" t="n"/>
      <c r="I53" s="84" t="n"/>
      <c r="J53" s="84" t="n"/>
    </row>
    <row r="54" ht="15" customHeight="1" s="83">
      <c r="A54" s="84" t="n"/>
      <c r="B54" s="84" t="n"/>
      <c r="C54" s="84" t="n"/>
      <c r="D54" s="84" t="n"/>
      <c r="E54" s="84" t="n"/>
      <c r="F54" s="84" t="n"/>
      <c r="G54" s="84" t="n"/>
      <c r="H54" s="84" t="n"/>
      <c r="I54" s="84" t="n"/>
      <c r="J54" s="84" t="n"/>
    </row>
    <row r="55" ht="15" customHeight="1" s="83">
      <c r="A55" s="84" t="n"/>
      <c r="B55" s="84" t="n"/>
      <c r="C55" s="84" t="n"/>
      <c r="D55" s="84" t="n"/>
      <c r="E55" s="84" t="n"/>
      <c r="F55" s="84" t="n"/>
      <c r="G55" s="84" t="n"/>
      <c r="H55" s="84" t="n"/>
      <c r="I55" s="84" t="n"/>
      <c r="J55" s="84" t="n"/>
    </row>
  </sheetData>
  <sheetProtection selectLockedCells="0" selectUnlockedCells="0" sheet="1" objects="1" insertRows="1" insertHyperlinks="1" autoFilter="0" scenarios="1" formatColumns="0" deleteColumns="1" insertColumns="1" pivotTables="1" deleteRows="1" formatCells="0" formatRows="0" sort="0"/>
  <mergeCells count="1">
    <mergeCell ref="I6:J6"/>
  </mergeCells>
  <dataValidations count="1">
    <dataValidation sqref="F8:F27" showDropDown="0" showInputMessage="0" showErrorMessage="0" allowBlank="0" type="list" errorStyle="stop" operator="between">
      <formula1>"💳 Credit Card,🎓 Student Loan,🚗 Car Loan,🏠 Mortgage,💰 Personal Loan,🏥 Medical,📦 Other"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tabColor rgb="002D8C6F"/>
    <outlinePr summaryBelow="1" summaryRight="1"/>
    <pageSetUpPr fitToPage="0"/>
  </sheetPr>
  <dimension ref="A1:CJ12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baseColWidth="8" defaultColWidth="8.6796875" defaultRowHeight="15" zeroHeight="0" outlineLevelRow="0"/>
  <cols>
    <col width="3" customWidth="1" style="82" min="1" max="1"/>
    <col width="8" customWidth="1" style="82" min="2" max="2"/>
    <col width="12" customWidth="1" style="82" min="3" max="3"/>
    <col width="11" customWidth="1" style="82" min="4" max="83"/>
    <col width="14" customWidth="1" style="82" min="84" max="86"/>
  </cols>
  <sheetData>
    <row r="1" ht="42" customHeight="1" s="83">
      <c r="A1" s="148" t="n"/>
      <c r="B1" s="149" t="inlineStr">
        <is>
          <t>●  SNOWBALL SCHEDULE</t>
        </is>
      </c>
      <c r="G1" s="85" t="n"/>
      <c r="H1" s="85" t="n"/>
      <c r="I1" s="85" t="n"/>
      <c r="J1" s="85" t="n"/>
      <c r="K1" s="148" t="n"/>
      <c r="L1" s="148" t="n"/>
      <c r="M1" s="148" t="n"/>
      <c r="N1" s="148" t="n"/>
      <c r="O1" s="148" t="n"/>
      <c r="P1" s="148" t="n"/>
      <c r="Q1" s="148" t="n"/>
      <c r="R1" s="148" t="n"/>
      <c r="S1" s="148" t="n"/>
      <c r="T1" s="148" t="n"/>
      <c r="U1" s="148" t="n"/>
      <c r="V1" s="148" t="n"/>
      <c r="W1" s="148" t="n"/>
      <c r="X1" s="148" t="n"/>
      <c r="Y1" s="148" t="n"/>
      <c r="Z1" s="148" t="n"/>
      <c r="AA1" s="148" t="n"/>
      <c r="AB1" s="148" t="n"/>
      <c r="AC1" s="148" t="n"/>
      <c r="AD1" s="148" t="n"/>
      <c r="AE1" s="148" t="n"/>
      <c r="AF1" s="148" t="n"/>
      <c r="AG1" s="148" t="n"/>
      <c r="AH1" s="148" t="n"/>
      <c r="AI1" s="148" t="n"/>
      <c r="AJ1" s="148" t="n"/>
      <c r="AK1" s="148" t="n"/>
      <c r="AL1" s="148" t="n"/>
      <c r="AM1" s="148" t="n"/>
      <c r="AN1" s="148" t="n"/>
      <c r="AO1" s="148" t="n"/>
      <c r="AP1" s="148" t="n"/>
      <c r="AQ1" s="148" t="n"/>
      <c r="AR1" s="148" t="n"/>
      <c r="AS1" s="148" t="n"/>
      <c r="AT1" s="148" t="n"/>
      <c r="AU1" s="148" t="n"/>
      <c r="AV1" s="148" t="n"/>
      <c r="AW1" s="148" t="n"/>
      <c r="AX1" s="148" t="n"/>
      <c r="AY1" s="148" t="n"/>
      <c r="AZ1" s="148" t="n"/>
      <c r="BA1" s="148" t="n"/>
      <c r="BB1" s="148" t="n"/>
      <c r="BC1" s="148" t="n"/>
      <c r="BD1" s="148" t="n"/>
      <c r="BE1" s="148" t="n"/>
      <c r="BF1" s="148" t="n"/>
      <c r="BG1" s="148" t="n"/>
      <c r="BH1" s="148" t="n"/>
      <c r="BI1" s="148" t="n"/>
      <c r="BJ1" s="148" t="n"/>
      <c r="BK1" s="148" t="n"/>
      <c r="BL1" s="148" t="n"/>
      <c r="BM1" s="148" t="n"/>
      <c r="BN1" s="148" t="n"/>
      <c r="BO1" s="148" t="n"/>
      <c r="BP1" s="148" t="n"/>
      <c r="BQ1" s="148" t="n"/>
      <c r="BR1" s="148" t="n"/>
      <c r="BS1" s="148" t="n"/>
      <c r="BT1" s="148" t="n"/>
      <c r="BU1" s="148" t="n"/>
      <c r="BV1" s="148" t="n"/>
      <c r="BW1" s="148" t="n"/>
      <c r="BX1" s="148" t="n"/>
      <c r="BY1" s="148" t="n"/>
      <c r="BZ1" s="148" t="n"/>
      <c r="CA1" s="148" t="n"/>
      <c r="CB1" s="148" t="n"/>
      <c r="CC1" s="148" t="n"/>
      <c r="CD1" s="148" t="n"/>
      <c r="CE1" s="148" t="n"/>
      <c r="CF1" s="148" t="n"/>
      <c r="CG1" s="148" t="n"/>
      <c r="CH1" s="148" t="n"/>
      <c r="CI1" s="148" t="n"/>
      <c r="CJ1" s="148" t="n"/>
    </row>
    <row r="2" ht="15" customHeight="1" s="83">
      <c r="A2" s="148" t="n"/>
      <c r="B2" s="135" t="inlineStr">
        <is>
          <t>Month</t>
        </is>
      </c>
      <c r="C2" s="135" t="inlineStr">
        <is>
          <t>Total Paid</t>
        </is>
      </c>
      <c r="D2" s="150">
        <f>IF(Debts!B8="","—",Debts!B8)</f>
        <v/>
      </c>
      <c r="E2" s="148" t="n"/>
      <c r="F2" s="148" t="n"/>
      <c r="G2" s="148" t="n"/>
      <c r="H2" s="150">
        <f>IF(Debts!B9="","—",Debts!B9)</f>
        <v/>
      </c>
      <c r="I2" s="148" t="n"/>
      <c r="J2" s="148" t="n"/>
      <c r="K2" s="148" t="n"/>
      <c r="L2" s="150">
        <f>IF(Debts!B10="","—",Debts!B10)</f>
        <v/>
      </c>
      <c r="M2" s="148" t="n"/>
      <c r="N2" s="148" t="n"/>
      <c r="O2" s="148" t="n"/>
      <c r="P2" s="150">
        <f>IF(Debts!B11="","—",Debts!B11)</f>
        <v/>
      </c>
      <c r="Q2" s="148" t="n"/>
      <c r="R2" s="148" t="n"/>
      <c r="S2" s="148" t="n"/>
      <c r="T2" s="150">
        <f>IF(Debts!B12="","—",Debts!B12)</f>
        <v/>
      </c>
      <c r="U2" s="148" t="n"/>
      <c r="V2" s="148" t="n"/>
      <c r="W2" s="148" t="n"/>
      <c r="X2" s="150">
        <f>IF(Debts!B13="","—",Debts!B13)</f>
        <v/>
      </c>
      <c r="Y2" s="148" t="n"/>
      <c r="Z2" s="148" t="n"/>
      <c r="AA2" s="148" t="n"/>
      <c r="AB2" s="150">
        <f>IF(Debts!B14="","—",Debts!B14)</f>
        <v/>
      </c>
      <c r="AC2" s="148" t="n"/>
      <c r="AD2" s="148" t="n"/>
      <c r="AE2" s="148" t="n"/>
      <c r="AF2" s="150">
        <f>IF(Debts!B15="","—",Debts!B15)</f>
        <v/>
      </c>
      <c r="AG2" s="148" t="n"/>
      <c r="AH2" s="148" t="n"/>
      <c r="AI2" s="148" t="n"/>
      <c r="AJ2" s="150">
        <f>IF(Debts!B16="","—",Debts!B16)</f>
        <v/>
      </c>
      <c r="AK2" s="148" t="n"/>
      <c r="AL2" s="148" t="n"/>
      <c r="AM2" s="148" t="n"/>
      <c r="AN2" s="150">
        <f>IF(Debts!B17="","—",Debts!B17)</f>
        <v/>
      </c>
      <c r="AO2" s="148" t="n"/>
      <c r="AP2" s="148" t="n"/>
      <c r="AQ2" s="148" t="n"/>
      <c r="AR2" s="150">
        <f>IF(Debts!B18="","—",Debts!B18)</f>
        <v/>
      </c>
      <c r="AS2" s="148" t="n"/>
      <c r="AT2" s="148" t="n"/>
      <c r="AU2" s="148" t="n"/>
      <c r="AV2" s="150">
        <f>IF(Debts!B19="","—",Debts!B19)</f>
        <v/>
      </c>
      <c r="AW2" s="148" t="n"/>
      <c r="AX2" s="148" t="n"/>
      <c r="AY2" s="148" t="n"/>
      <c r="AZ2" s="150">
        <f>IF(Debts!B20="","—",Debts!B20)</f>
        <v/>
      </c>
      <c r="BA2" s="148" t="n"/>
      <c r="BB2" s="148" t="n"/>
      <c r="BC2" s="148" t="n"/>
      <c r="BD2" s="150">
        <f>IF(Debts!B21="","—",Debts!B21)</f>
        <v/>
      </c>
      <c r="BE2" s="148" t="n"/>
      <c r="BF2" s="148" t="n"/>
      <c r="BG2" s="148" t="n"/>
      <c r="BH2" s="150">
        <f>IF(Debts!B22="","—",Debts!B22)</f>
        <v/>
      </c>
      <c r="BI2" s="148" t="n"/>
      <c r="BJ2" s="148" t="n"/>
      <c r="BK2" s="148" t="n"/>
      <c r="BL2" s="150">
        <f>IF(Debts!B23="","—",Debts!B23)</f>
        <v/>
      </c>
      <c r="BM2" s="148" t="n"/>
      <c r="BN2" s="148" t="n"/>
      <c r="BO2" s="148" t="n"/>
      <c r="BP2" s="150">
        <f>IF(Debts!B24="","—",Debts!B24)</f>
        <v/>
      </c>
      <c r="BQ2" s="148" t="n"/>
      <c r="BR2" s="148" t="n"/>
      <c r="BS2" s="148" t="n"/>
      <c r="BT2" s="150">
        <f>IF(Debts!B25="","—",Debts!B25)</f>
        <v/>
      </c>
      <c r="BU2" s="148" t="n"/>
      <c r="BV2" s="148" t="n"/>
      <c r="BW2" s="148" t="n"/>
      <c r="BX2" s="150">
        <f>IF(Debts!B26="","—",Debts!B26)</f>
        <v/>
      </c>
      <c r="BY2" s="148" t="n"/>
      <c r="BZ2" s="148" t="n"/>
      <c r="CA2" s="148" t="n"/>
      <c r="CB2" s="150">
        <f>IF(Debts!B27="","—",Debts!B27)</f>
        <v/>
      </c>
      <c r="CC2" s="148" t="n"/>
      <c r="CD2" s="148" t="n"/>
      <c r="CE2" s="148" t="n"/>
      <c r="CF2" s="151" t="inlineStr">
        <is>
          <t>Total Rem</t>
        </is>
      </c>
      <c r="CG2" s="151" t="inlineStr">
        <is>
          <t>Month Int</t>
        </is>
      </c>
      <c r="CH2" s="151" t="inlineStr">
        <is>
          <t>Cum Int</t>
        </is>
      </c>
      <c r="CI2" s="148" t="n"/>
      <c r="CJ2" s="152">
        <f>CH124</f>
        <v/>
      </c>
    </row>
    <row r="3" ht="15" customHeight="1" s="83">
      <c r="A3" s="148" t="n"/>
      <c r="B3" s="148" t="n"/>
      <c r="C3" s="148" t="n"/>
      <c r="D3" s="123" t="inlineStr">
        <is>
          <t>Bal</t>
        </is>
      </c>
      <c r="E3" s="123" t="inlineStr">
        <is>
          <t>Int</t>
        </is>
      </c>
      <c r="F3" s="123" t="inlineStr">
        <is>
          <t>Pmt</t>
        </is>
      </c>
      <c r="G3" s="123" t="inlineStr">
        <is>
          <t>End</t>
        </is>
      </c>
      <c r="H3" s="123" t="inlineStr">
        <is>
          <t>Bal</t>
        </is>
      </c>
      <c r="I3" s="123" t="inlineStr">
        <is>
          <t>Int</t>
        </is>
      </c>
      <c r="J3" s="123" t="inlineStr">
        <is>
          <t>Pmt</t>
        </is>
      </c>
      <c r="K3" s="123" t="inlineStr">
        <is>
          <t>End</t>
        </is>
      </c>
      <c r="L3" s="123" t="inlineStr">
        <is>
          <t>Bal</t>
        </is>
      </c>
      <c r="M3" s="123" t="inlineStr">
        <is>
          <t>Int</t>
        </is>
      </c>
      <c r="N3" s="123" t="inlineStr">
        <is>
          <t>Pmt</t>
        </is>
      </c>
      <c r="O3" s="123" t="inlineStr">
        <is>
          <t>End</t>
        </is>
      </c>
      <c r="P3" s="123" t="inlineStr">
        <is>
          <t>Bal</t>
        </is>
      </c>
      <c r="Q3" s="123" t="inlineStr">
        <is>
          <t>Int</t>
        </is>
      </c>
      <c r="R3" s="123" t="inlineStr">
        <is>
          <t>Pmt</t>
        </is>
      </c>
      <c r="S3" s="123" t="inlineStr">
        <is>
          <t>End</t>
        </is>
      </c>
      <c r="T3" s="123" t="inlineStr">
        <is>
          <t>Bal</t>
        </is>
      </c>
      <c r="U3" s="123" t="inlineStr">
        <is>
          <t>Int</t>
        </is>
      </c>
      <c r="V3" s="123" t="inlineStr">
        <is>
          <t>Pmt</t>
        </is>
      </c>
      <c r="W3" s="123" t="inlineStr">
        <is>
          <t>End</t>
        </is>
      </c>
      <c r="X3" s="123" t="inlineStr">
        <is>
          <t>Bal</t>
        </is>
      </c>
      <c r="Y3" s="123" t="inlineStr">
        <is>
          <t>Int</t>
        </is>
      </c>
      <c r="Z3" s="123" t="inlineStr">
        <is>
          <t>Pmt</t>
        </is>
      </c>
      <c r="AA3" s="123" t="inlineStr">
        <is>
          <t>End</t>
        </is>
      </c>
      <c r="AB3" s="123" t="inlineStr">
        <is>
          <t>Bal</t>
        </is>
      </c>
      <c r="AC3" s="123" t="inlineStr">
        <is>
          <t>Int</t>
        </is>
      </c>
      <c r="AD3" s="123" t="inlineStr">
        <is>
          <t>Pmt</t>
        </is>
      </c>
      <c r="AE3" s="123" t="inlineStr">
        <is>
          <t>End</t>
        </is>
      </c>
      <c r="AF3" s="123" t="inlineStr">
        <is>
          <t>Bal</t>
        </is>
      </c>
      <c r="AG3" s="123" t="inlineStr">
        <is>
          <t>Int</t>
        </is>
      </c>
      <c r="AH3" s="123" t="inlineStr">
        <is>
          <t>Pmt</t>
        </is>
      </c>
      <c r="AI3" s="123" t="inlineStr">
        <is>
          <t>End</t>
        </is>
      </c>
      <c r="AJ3" s="123" t="inlineStr">
        <is>
          <t>Bal</t>
        </is>
      </c>
      <c r="AK3" s="123" t="inlineStr">
        <is>
          <t>Int</t>
        </is>
      </c>
      <c r="AL3" s="123" t="inlineStr">
        <is>
          <t>Pmt</t>
        </is>
      </c>
      <c r="AM3" s="123" t="inlineStr">
        <is>
          <t>End</t>
        </is>
      </c>
      <c r="AN3" s="123" t="inlineStr">
        <is>
          <t>Bal</t>
        </is>
      </c>
      <c r="AO3" s="123" t="inlineStr">
        <is>
          <t>Int</t>
        </is>
      </c>
      <c r="AP3" s="123" t="inlineStr">
        <is>
          <t>Pmt</t>
        </is>
      </c>
      <c r="AQ3" s="123" t="inlineStr">
        <is>
          <t>End</t>
        </is>
      </c>
      <c r="AR3" s="123" t="inlineStr">
        <is>
          <t>Bal</t>
        </is>
      </c>
      <c r="AS3" s="123" t="inlineStr">
        <is>
          <t>Int</t>
        </is>
      </c>
      <c r="AT3" s="123" t="inlineStr">
        <is>
          <t>Pmt</t>
        </is>
      </c>
      <c r="AU3" s="123" t="inlineStr">
        <is>
          <t>End</t>
        </is>
      </c>
      <c r="AV3" s="123" t="inlineStr">
        <is>
          <t>Bal</t>
        </is>
      </c>
      <c r="AW3" s="123" t="inlineStr">
        <is>
          <t>Int</t>
        </is>
      </c>
      <c r="AX3" s="123" t="inlineStr">
        <is>
          <t>Pmt</t>
        </is>
      </c>
      <c r="AY3" s="123" t="inlineStr">
        <is>
          <t>End</t>
        </is>
      </c>
      <c r="AZ3" s="123" t="inlineStr">
        <is>
          <t>Bal</t>
        </is>
      </c>
      <c r="BA3" s="123" t="inlineStr">
        <is>
          <t>Int</t>
        </is>
      </c>
      <c r="BB3" s="123" t="inlineStr">
        <is>
          <t>Pmt</t>
        </is>
      </c>
      <c r="BC3" s="123" t="inlineStr">
        <is>
          <t>End</t>
        </is>
      </c>
      <c r="BD3" s="123" t="inlineStr">
        <is>
          <t>Bal</t>
        </is>
      </c>
      <c r="BE3" s="123" t="inlineStr">
        <is>
          <t>Int</t>
        </is>
      </c>
      <c r="BF3" s="123" t="inlineStr">
        <is>
          <t>Pmt</t>
        </is>
      </c>
      <c r="BG3" s="123" t="inlineStr">
        <is>
          <t>End</t>
        </is>
      </c>
      <c r="BH3" s="123" t="inlineStr">
        <is>
          <t>Bal</t>
        </is>
      </c>
      <c r="BI3" s="123" t="inlineStr">
        <is>
          <t>Int</t>
        </is>
      </c>
      <c r="BJ3" s="123" t="inlineStr">
        <is>
          <t>Pmt</t>
        </is>
      </c>
      <c r="BK3" s="123" t="inlineStr">
        <is>
          <t>End</t>
        </is>
      </c>
      <c r="BL3" s="123" t="inlineStr">
        <is>
          <t>Bal</t>
        </is>
      </c>
      <c r="BM3" s="123" t="inlineStr">
        <is>
          <t>Int</t>
        </is>
      </c>
      <c r="BN3" s="123" t="inlineStr">
        <is>
          <t>Pmt</t>
        </is>
      </c>
      <c r="BO3" s="123" t="inlineStr">
        <is>
          <t>End</t>
        </is>
      </c>
      <c r="BP3" s="123" t="inlineStr">
        <is>
          <t>Bal</t>
        </is>
      </c>
      <c r="BQ3" s="123" t="inlineStr">
        <is>
          <t>Int</t>
        </is>
      </c>
      <c r="BR3" s="123" t="inlineStr">
        <is>
          <t>Pmt</t>
        </is>
      </c>
      <c r="BS3" s="123" t="inlineStr">
        <is>
          <t>End</t>
        </is>
      </c>
      <c r="BT3" s="123" t="inlineStr">
        <is>
          <t>Bal</t>
        </is>
      </c>
      <c r="BU3" s="123" t="inlineStr">
        <is>
          <t>Int</t>
        </is>
      </c>
      <c r="BV3" s="123" t="inlineStr">
        <is>
          <t>Pmt</t>
        </is>
      </c>
      <c r="BW3" s="123" t="inlineStr">
        <is>
          <t>End</t>
        </is>
      </c>
      <c r="BX3" s="123" t="inlineStr">
        <is>
          <t>Bal</t>
        </is>
      </c>
      <c r="BY3" s="123" t="inlineStr">
        <is>
          <t>Int</t>
        </is>
      </c>
      <c r="BZ3" s="123" t="inlineStr">
        <is>
          <t>Pmt</t>
        </is>
      </c>
      <c r="CA3" s="123" t="inlineStr">
        <is>
          <t>End</t>
        </is>
      </c>
      <c r="CB3" s="123" t="inlineStr">
        <is>
          <t>Bal</t>
        </is>
      </c>
      <c r="CC3" s="123" t="inlineStr">
        <is>
          <t>Int</t>
        </is>
      </c>
      <c r="CD3" s="123" t="inlineStr">
        <is>
          <t>Pmt</t>
        </is>
      </c>
      <c r="CE3" s="123" t="inlineStr">
        <is>
          <t>End</t>
        </is>
      </c>
      <c r="CF3" s="148" t="n"/>
      <c r="CG3" s="148" t="n"/>
      <c r="CH3" s="148" t="n"/>
      <c r="CI3" s="148" t="n"/>
      <c r="CJ3" s="153">
        <f>IFERROR(DATE(YEAR(TODAY()),MONTH(TODAY())+MATCH(TRUE(),INDEX(CF5:CF124&lt;=0.01,0),0),DAY(TODAY())),"10+ years")</f>
        <v/>
      </c>
    </row>
    <row r="4" ht="15" customHeight="1" s="83">
      <c r="A4" s="148" t="n"/>
      <c r="B4" s="154" t="n">
        <v>0</v>
      </c>
      <c r="C4" s="155" t="n">
        <v>0</v>
      </c>
      <c r="D4" s="155">
        <f>IF(Debts!C8="",0,Debts!C8)</f>
        <v/>
      </c>
      <c r="E4" s="154" t="n">
        <v>0</v>
      </c>
      <c r="F4" s="154" t="n">
        <v>0</v>
      </c>
      <c r="G4" s="155">
        <f>IF(Debts!C8="",0,Debts!C8)</f>
        <v/>
      </c>
      <c r="H4" s="155">
        <f>IF(Debts!C9="",0,Debts!C9)</f>
        <v/>
      </c>
      <c r="I4" s="154" t="n">
        <v>0</v>
      </c>
      <c r="J4" s="154" t="n">
        <v>0</v>
      </c>
      <c r="K4" s="155">
        <f>IF(Debts!C9="",0,Debts!C9)</f>
        <v/>
      </c>
      <c r="L4" s="155">
        <f>IF(Debts!C10="",0,Debts!C10)</f>
        <v/>
      </c>
      <c r="M4" s="154" t="n">
        <v>0</v>
      </c>
      <c r="N4" s="154" t="n">
        <v>0</v>
      </c>
      <c r="O4" s="155">
        <f>IF(Debts!C10="",0,Debts!C10)</f>
        <v/>
      </c>
      <c r="P4" s="155">
        <f>IF(Debts!C11="",0,Debts!C11)</f>
        <v/>
      </c>
      <c r="Q4" s="154" t="n">
        <v>0</v>
      </c>
      <c r="R4" s="154" t="n">
        <v>0</v>
      </c>
      <c r="S4" s="155">
        <f>IF(Debts!C11="",0,Debts!C11)</f>
        <v/>
      </c>
      <c r="T4" s="155">
        <f>IF(Debts!C12="",0,Debts!C12)</f>
        <v/>
      </c>
      <c r="U4" s="154" t="n">
        <v>0</v>
      </c>
      <c r="V4" s="154" t="n">
        <v>0</v>
      </c>
      <c r="W4" s="155">
        <f>IF(Debts!C12="",0,Debts!C12)</f>
        <v/>
      </c>
      <c r="X4" s="155">
        <f>IF(Debts!C13="",0,Debts!C13)</f>
        <v/>
      </c>
      <c r="Y4" s="154" t="n">
        <v>0</v>
      </c>
      <c r="Z4" s="154" t="n">
        <v>0</v>
      </c>
      <c r="AA4" s="155">
        <f>IF(Debts!C13="",0,Debts!C13)</f>
        <v/>
      </c>
      <c r="AB4" s="155">
        <f>IF(Debts!C14="",0,Debts!C14)</f>
        <v/>
      </c>
      <c r="AC4" s="154" t="n">
        <v>0</v>
      </c>
      <c r="AD4" s="154" t="n">
        <v>0</v>
      </c>
      <c r="AE4" s="155">
        <f>IF(Debts!C14="",0,Debts!C14)</f>
        <v/>
      </c>
      <c r="AF4" s="155">
        <f>IF(Debts!C15="",0,Debts!C15)</f>
        <v/>
      </c>
      <c r="AG4" s="154" t="n">
        <v>0</v>
      </c>
      <c r="AH4" s="154" t="n">
        <v>0</v>
      </c>
      <c r="AI4" s="155">
        <f>IF(Debts!C15="",0,Debts!C15)</f>
        <v/>
      </c>
      <c r="AJ4" s="155">
        <f>IF(Debts!C16="",0,Debts!C16)</f>
        <v/>
      </c>
      <c r="AK4" s="154" t="n">
        <v>0</v>
      </c>
      <c r="AL4" s="154" t="n">
        <v>0</v>
      </c>
      <c r="AM4" s="155">
        <f>IF(Debts!C16="",0,Debts!C16)</f>
        <v/>
      </c>
      <c r="AN4" s="155">
        <f>IF(Debts!C17="",0,Debts!C17)</f>
        <v/>
      </c>
      <c r="AO4" s="154" t="n">
        <v>0</v>
      </c>
      <c r="AP4" s="154" t="n">
        <v>0</v>
      </c>
      <c r="AQ4" s="155">
        <f>IF(Debts!C17="",0,Debts!C17)</f>
        <v/>
      </c>
      <c r="AR4" s="155">
        <f>IF(Debts!C18="",0,Debts!C18)</f>
        <v/>
      </c>
      <c r="AS4" s="154" t="n">
        <v>0</v>
      </c>
      <c r="AT4" s="154" t="n">
        <v>0</v>
      </c>
      <c r="AU4" s="155">
        <f>IF(Debts!C18="",0,Debts!C18)</f>
        <v/>
      </c>
      <c r="AV4" s="155">
        <f>IF(Debts!C19="",0,Debts!C19)</f>
        <v/>
      </c>
      <c r="AW4" s="154" t="n">
        <v>0</v>
      </c>
      <c r="AX4" s="154" t="n">
        <v>0</v>
      </c>
      <c r="AY4" s="155">
        <f>IF(Debts!C19="",0,Debts!C19)</f>
        <v/>
      </c>
      <c r="AZ4" s="155">
        <f>IF(Debts!C20="",0,Debts!C20)</f>
        <v/>
      </c>
      <c r="BA4" s="154" t="n">
        <v>0</v>
      </c>
      <c r="BB4" s="154" t="n">
        <v>0</v>
      </c>
      <c r="BC4" s="155">
        <f>IF(Debts!C20="",0,Debts!C20)</f>
        <v/>
      </c>
      <c r="BD4" s="155">
        <f>IF(Debts!C21="",0,Debts!C21)</f>
        <v/>
      </c>
      <c r="BE4" s="154" t="n">
        <v>0</v>
      </c>
      <c r="BF4" s="154" t="n">
        <v>0</v>
      </c>
      <c r="BG4" s="155">
        <f>IF(Debts!C21="",0,Debts!C21)</f>
        <v/>
      </c>
      <c r="BH4" s="155">
        <f>IF(Debts!C22="",0,Debts!C22)</f>
        <v/>
      </c>
      <c r="BI4" s="154" t="n">
        <v>0</v>
      </c>
      <c r="BJ4" s="154" t="n">
        <v>0</v>
      </c>
      <c r="BK4" s="155">
        <f>IF(Debts!C22="",0,Debts!C22)</f>
        <v/>
      </c>
      <c r="BL4" s="155">
        <f>IF(Debts!C23="",0,Debts!C23)</f>
        <v/>
      </c>
      <c r="BM4" s="154" t="n">
        <v>0</v>
      </c>
      <c r="BN4" s="154" t="n">
        <v>0</v>
      </c>
      <c r="BO4" s="155">
        <f>IF(Debts!C23="",0,Debts!C23)</f>
        <v/>
      </c>
      <c r="BP4" s="155">
        <f>IF(Debts!C24="",0,Debts!C24)</f>
        <v/>
      </c>
      <c r="BQ4" s="154" t="n">
        <v>0</v>
      </c>
      <c r="BR4" s="154" t="n">
        <v>0</v>
      </c>
      <c r="BS4" s="155">
        <f>IF(Debts!C24="",0,Debts!C24)</f>
        <v/>
      </c>
      <c r="BT4" s="155">
        <f>IF(Debts!C25="",0,Debts!C25)</f>
        <v/>
      </c>
      <c r="BU4" s="154" t="n">
        <v>0</v>
      </c>
      <c r="BV4" s="154" t="n">
        <v>0</v>
      </c>
      <c r="BW4" s="155">
        <f>IF(Debts!C25="",0,Debts!C25)</f>
        <v/>
      </c>
      <c r="BX4" s="155">
        <f>IF(Debts!C26="",0,Debts!C26)</f>
        <v/>
      </c>
      <c r="BY4" s="154" t="n">
        <v>0</v>
      </c>
      <c r="BZ4" s="154" t="n">
        <v>0</v>
      </c>
      <c r="CA4" s="155">
        <f>IF(Debts!C26="",0,Debts!C26)</f>
        <v/>
      </c>
      <c r="CB4" s="155">
        <f>IF(Debts!C27="",0,Debts!C27)</f>
        <v/>
      </c>
      <c r="CC4" s="154" t="n">
        <v>0</v>
      </c>
      <c r="CD4" s="154" t="n">
        <v>0</v>
      </c>
      <c r="CE4" s="155">
        <f>IF(Debts!C27="",0,Debts!C27)</f>
        <v/>
      </c>
      <c r="CF4" s="155">
        <f>G4+K4+O4+S4+W4+AA4+AE4+AI4+AM4+AQ4+AU4+AY4+BC4+BG4+BK4+BO4+BS4+BW4+CA4+CE4</f>
        <v/>
      </c>
      <c r="CG4" s="154" t="n">
        <v>0</v>
      </c>
      <c r="CH4" s="154" t="n">
        <v>0</v>
      </c>
      <c r="CI4" s="148" t="n"/>
      <c r="CJ4" s="154">
        <f>IFERROR(MATCH(TRUE(),INDEX(CF5:CF124&lt;=0.01,0),0),120)</f>
        <v/>
      </c>
    </row>
    <row r="5" ht="15" customHeight="1" s="83">
      <c r="A5" s="148" t="n"/>
      <c r="B5" s="156" t="n">
        <v>1</v>
      </c>
      <c r="C5" s="155">
        <f>F5+J5+N5+R5+V5+Z5+AD5+AH5+AL5+AP5+AT5+AX5+BB5+BF5+BJ5+BN5+BR5+BV5+BZ5+CD5</f>
        <v/>
      </c>
      <c r="D5" s="155">
        <f>G4</f>
        <v/>
      </c>
      <c r="E5" s="157">
        <f>IF(D5&gt;0.005,D5*Debts!D8/12,0)</f>
        <v/>
      </c>
      <c r="F5" s="157" t="n">
        <v>0</v>
      </c>
      <c r="G5" s="155">
        <f>MAX(0,D5+E5-F5)</f>
        <v/>
      </c>
      <c r="H5" s="155">
        <f>K4</f>
        <v/>
      </c>
      <c r="I5" s="157">
        <f>IF(H5&gt;0.005,H5*Debts!D9/12,0)</f>
        <v/>
      </c>
      <c r="J5" s="157" t="n">
        <v>0</v>
      </c>
      <c r="K5" s="155">
        <f>MAX(0,H5+I5-J5)</f>
        <v/>
      </c>
      <c r="L5" s="155">
        <f>O4</f>
        <v/>
      </c>
      <c r="M5" s="157">
        <f>IF(L5&gt;0.005,L5*Debts!D10/12,0)</f>
        <v/>
      </c>
      <c r="N5" s="157" t="n">
        <v>0</v>
      </c>
      <c r="O5" s="155">
        <f>MAX(0,L5+M5-N5)</f>
        <v/>
      </c>
      <c r="P5" s="155">
        <f>S4</f>
        <v/>
      </c>
      <c r="Q5" s="157">
        <f>IF(P5&gt;0.005,P5*Debts!D11/12,0)</f>
        <v/>
      </c>
      <c r="R5" s="157" t="n">
        <v>0</v>
      </c>
      <c r="S5" s="155">
        <f>MAX(0,P5+Q5-R5)</f>
        <v/>
      </c>
      <c r="T5" s="155">
        <f>W4</f>
        <v/>
      </c>
      <c r="U5" s="157">
        <f>IF(T5&gt;0.005,T5*Debts!D12/12,0)</f>
        <v/>
      </c>
      <c r="V5" s="157" t="n">
        <v>0</v>
      </c>
      <c r="W5" s="155">
        <f>MAX(0,T5+U5-V5)</f>
        <v/>
      </c>
      <c r="X5" s="155">
        <f>AA4</f>
        <v/>
      </c>
      <c r="Y5" s="157">
        <f>IF(X5&gt;0.005,X5*Debts!D13/12,0)</f>
        <v/>
      </c>
      <c r="Z5" s="157" t="n">
        <v>0</v>
      </c>
      <c r="AA5" s="155">
        <f>MAX(0,X5+Y5-Z5)</f>
        <v/>
      </c>
      <c r="AB5" s="155">
        <f>AE4</f>
        <v/>
      </c>
      <c r="AC5" s="157">
        <f>IF(AB5&gt;0.005,AB5*Debts!D14/12,0)</f>
        <v/>
      </c>
      <c r="AD5" s="157" t="n">
        <v>0</v>
      </c>
      <c r="AE5" s="155">
        <f>MAX(0,AB5+AC5-AD5)</f>
        <v/>
      </c>
      <c r="AF5" s="155">
        <f>AI4</f>
        <v/>
      </c>
      <c r="AG5" s="157">
        <f>IF(AF5&gt;0.005,AF5*Debts!D15/12,0)</f>
        <v/>
      </c>
      <c r="AH5" s="157" t="n">
        <v>0</v>
      </c>
      <c r="AI5" s="155">
        <f>MAX(0,AF5+AG5-AH5)</f>
        <v/>
      </c>
      <c r="AJ5" s="155">
        <f>AM4</f>
        <v/>
      </c>
      <c r="AK5" s="157">
        <f>IF(AJ5&gt;0.005,AJ5*Debts!D16/12,0)</f>
        <v/>
      </c>
      <c r="AL5" s="157" t="n">
        <v>0</v>
      </c>
      <c r="AM5" s="155">
        <f>MAX(0,AJ5+AK5-AL5)</f>
        <v/>
      </c>
      <c r="AN5" s="155">
        <f>AQ4</f>
        <v/>
      </c>
      <c r="AO5" s="157">
        <f>IF(AN5&gt;0.005,AN5*Debts!D17/12,0)</f>
        <v/>
      </c>
      <c r="AP5" s="157" t="n">
        <v>0</v>
      </c>
      <c r="AQ5" s="155">
        <f>MAX(0,AN5+AO5-AP5)</f>
        <v/>
      </c>
      <c r="AR5" s="155">
        <f>AU4</f>
        <v/>
      </c>
      <c r="AS5" s="157">
        <f>IF(AR5&gt;0.005,AR5*Debts!D18/12,0)</f>
        <v/>
      </c>
      <c r="AT5" s="157" t="n">
        <v>0</v>
      </c>
      <c r="AU5" s="155">
        <f>MAX(0,AR5+AS5-AT5)</f>
        <v/>
      </c>
      <c r="AV5" s="155">
        <f>AY4</f>
        <v/>
      </c>
      <c r="AW5" s="157">
        <f>IF(AV5&gt;0.005,AV5*Debts!D19/12,0)</f>
        <v/>
      </c>
      <c r="AX5" s="157" t="n">
        <v>0</v>
      </c>
      <c r="AY5" s="155">
        <f>MAX(0,AV5+AW5-AX5)</f>
        <v/>
      </c>
      <c r="AZ5" s="155">
        <f>BC4</f>
        <v/>
      </c>
      <c r="BA5" s="157">
        <f>IF(AZ5&gt;0.005,AZ5*Debts!D20/12,0)</f>
        <v/>
      </c>
      <c r="BB5" s="157" t="n">
        <v>0</v>
      </c>
      <c r="BC5" s="155">
        <f>MAX(0,AZ5+BA5-BB5)</f>
        <v/>
      </c>
      <c r="BD5" s="155">
        <f>BG4</f>
        <v/>
      </c>
      <c r="BE5" s="157">
        <f>IF(BD5&gt;0.005,BD5*Debts!D21/12,0)</f>
        <v/>
      </c>
      <c r="BF5" s="157" t="n">
        <v>0</v>
      </c>
      <c r="BG5" s="155">
        <f>MAX(0,BD5+BE5-BF5)</f>
        <v/>
      </c>
      <c r="BH5" s="155">
        <f>BK4</f>
        <v/>
      </c>
      <c r="BI5" s="157">
        <f>IF(BH5&gt;0.005,BH5*Debts!D22/12,0)</f>
        <v/>
      </c>
      <c r="BJ5" s="157" t="n">
        <v>0</v>
      </c>
      <c r="BK5" s="155">
        <f>MAX(0,BH5+BI5-BJ5)</f>
        <v/>
      </c>
      <c r="BL5" s="155">
        <f>BO4</f>
        <v/>
      </c>
      <c r="BM5" s="157">
        <f>IF(BL5&gt;0.005,BL5*Debts!D23/12,0)</f>
        <v/>
      </c>
      <c r="BN5" s="157" t="n">
        <v>0</v>
      </c>
      <c r="BO5" s="155">
        <f>MAX(0,BL5+BM5-BN5)</f>
        <v/>
      </c>
      <c r="BP5" s="155">
        <f>BS4</f>
        <v/>
      </c>
      <c r="BQ5" s="157">
        <f>IF(BP5&gt;0.005,BP5*Debts!D24/12,0)</f>
        <v/>
      </c>
      <c r="BR5" s="157" t="n">
        <v>0</v>
      </c>
      <c r="BS5" s="155">
        <f>MAX(0,BP5+BQ5-BR5)</f>
        <v/>
      </c>
      <c r="BT5" s="155">
        <f>BW4</f>
        <v/>
      </c>
      <c r="BU5" s="157">
        <f>IF(BT5&gt;0.005,BT5*Debts!D25/12,0)</f>
        <v/>
      </c>
      <c r="BV5" s="157" t="n">
        <v>0</v>
      </c>
      <c r="BW5" s="155">
        <f>MAX(0,BT5+BU5-BV5)</f>
        <v/>
      </c>
      <c r="BX5" s="155">
        <f>CA4</f>
        <v/>
      </c>
      <c r="BY5" s="157">
        <f>IF(BX5&gt;0.005,BX5*Debts!D26/12,0)</f>
        <v/>
      </c>
      <c r="BZ5" s="157" t="n">
        <v>0</v>
      </c>
      <c r="CA5" s="155">
        <f>MAX(0,BX5+BY5-BZ5)</f>
        <v/>
      </c>
      <c r="CB5" s="155">
        <f>CE4</f>
        <v/>
      </c>
      <c r="CC5" s="157">
        <f>IF(CB5&gt;0.005,CB5*Debts!D27/12,0)</f>
        <v/>
      </c>
      <c r="CD5" s="157" t="n">
        <v>0</v>
      </c>
      <c r="CE5" s="155">
        <f>MAX(0,CB5+CC5-CD5)</f>
        <v/>
      </c>
      <c r="CF5" s="155">
        <f>G5+K5+O5+S5+W5+AA5+AE5+AI5+AM5+AQ5+AU5+AY5+BC5+BG5+BK5+BO5+BS5+BW5+CA5+CE5</f>
        <v/>
      </c>
      <c r="CG5" s="157">
        <f>E5+I5+M5+Q5+U5+Y5+AC5+AG5+AK5+AO5+AS5+AW5+BA5+BE5+BI5+BM5+BQ5+BU5+BY5+CC5</f>
        <v/>
      </c>
      <c r="CH5" s="155">
        <f>CH4+CG5</f>
        <v/>
      </c>
      <c r="CI5" s="148" t="n"/>
      <c r="CJ5" s="155">
        <f>CF5</f>
        <v/>
      </c>
    </row>
    <row r="6" ht="15" customHeight="1" s="83">
      <c r="A6" s="148" t="n"/>
      <c r="B6" s="158" t="n">
        <v>2</v>
      </c>
      <c r="C6" s="152">
        <f>F6+J6+N6+R6+V6+Z6+AD6+AH6+AL6+AP6+AT6+AX6+BB6+BF6+BJ6+BN6+BR6+BV6+BZ6+CD6</f>
        <v/>
      </c>
      <c r="D6" s="152">
        <f>G5</f>
        <v/>
      </c>
      <c r="E6" s="159">
        <f>IF(D6&gt;0.005,D6*Debts!D8/12,0)</f>
        <v/>
      </c>
      <c r="F6" s="159" t="n">
        <v>0</v>
      </c>
      <c r="G6" s="152">
        <f>MAX(0,D6+E6-F6)</f>
        <v/>
      </c>
      <c r="H6" s="152">
        <f>K5</f>
        <v/>
      </c>
      <c r="I6" s="159">
        <f>IF(H6&gt;0.005,H6*Debts!D9/12,0)</f>
        <v/>
      </c>
      <c r="J6" s="159" t="n">
        <v>0</v>
      </c>
      <c r="K6" s="152">
        <f>MAX(0,H6+I6-J6)</f>
        <v/>
      </c>
      <c r="L6" s="152">
        <f>O5</f>
        <v/>
      </c>
      <c r="M6" s="159">
        <f>IF(L6&gt;0.005,L6*Debts!D10/12,0)</f>
        <v/>
      </c>
      <c r="N6" s="159" t="n">
        <v>0</v>
      </c>
      <c r="O6" s="152">
        <f>MAX(0,L6+M6-N6)</f>
        <v/>
      </c>
      <c r="P6" s="152">
        <f>S5</f>
        <v/>
      </c>
      <c r="Q6" s="159">
        <f>IF(P6&gt;0.005,P6*Debts!D11/12,0)</f>
        <v/>
      </c>
      <c r="R6" s="159" t="n">
        <v>0</v>
      </c>
      <c r="S6" s="152">
        <f>MAX(0,P6+Q6-R6)</f>
        <v/>
      </c>
      <c r="T6" s="152">
        <f>W5</f>
        <v/>
      </c>
      <c r="U6" s="159">
        <f>IF(T6&gt;0.005,T6*Debts!D12/12,0)</f>
        <v/>
      </c>
      <c r="V6" s="159" t="n">
        <v>0</v>
      </c>
      <c r="W6" s="152">
        <f>MAX(0,T6+U6-V6)</f>
        <v/>
      </c>
      <c r="X6" s="152">
        <f>AA5</f>
        <v/>
      </c>
      <c r="Y6" s="159">
        <f>IF(X6&gt;0.005,X6*Debts!D13/12,0)</f>
        <v/>
      </c>
      <c r="Z6" s="159" t="n">
        <v>0</v>
      </c>
      <c r="AA6" s="152">
        <f>MAX(0,X6+Y6-Z6)</f>
        <v/>
      </c>
      <c r="AB6" s="152">
        <f>AE5</f>
        <v/>
      </c>
      <c r="AC6" s="159">
        <f>IF(AB6&gt;0.005,AB6*Debts!D14/12,0)</f>
        <v/>
      </c>
      <c r="AD6" s="159" t="n">
        <v>0</v>
      </c>
      <c r="AE6" s="152">
        <f>MAX(0,AB6+AC6-AD6)</f>
        <v/>
      </c>
      <c r="AF6" s="152">
        <f>AI5</f>
        <v/>
      </c>
      <c r="AG6" s="159">
        <f>IF(AF6&gt;0.005,AF6*Debts!D15/12,0)</f>
        <v/>
      </c>
      <c r="AH6" s="159" t="n">
        <v>0</v>
      </c>
      <c r="AI6" s="152">
        <f>MAX(0,AF6+AG6-AH6)</f>
        <v/>
      </c>
      <c r="AJ6" s="152">
        <f>AM5</f>
        <v/>
      </c>
      <c r="AK6" s="159">
        <f>IF(AJ6&gt;0.005,AJ6*Debts!D16/12,0)</f>
        <v/>
      </c>
      <c r="AL6" s="159" t="n">
        <v>0</v>
      </c>
      <c r="AM6" s="152">
        <f>MAX(0,AJ6+AK6-AL6)</f>
        <v/>
      </c>
      <c r="AN6" s="152">
        <f>AQ5</f>
        <v/>
      </c>
      <c r="AO6" s="159">
        <f>IF(AN6&gt;0.005,AN6*Debts!D17/12,0)</f>
        <v/>
      </c>
      <c r="AP6" s="159" t="n">
        <v>0</v>
      </c>
      <c r="AQ6" s="152">
        <f>MAX(0,AN6+AO6-AP6)</f>
        <v/>
      </c>
      <c r="AR6" s="152">
        <f>AU5</f>
        <v/>
      </c>
      <c r="AS6" s="159">
        <f>IF(AR6&gt;0.005,AR6*Debts!D18/12,0)</f>
        <v/>
      </c>
      <c r="AT6" s="159" t="n">
        <v>0</v>
      </c>
      <c r="AU6" s="152">
        <f>MAX(0,AR6+AS6-AT6)</f>
        <v/>
      </c>
      <c r="AV6" s="152">
        <f>AY5</f>
        <v/>
      </c>
      <c r="AW6" s="159">
        <f>IF(AV6&gt;0.005,AV6*Debts!D19/12,0)</f>
        <v/>
      </c>
      <c r="AX6" s="159" t="n">
        <v>0</v>
      </c>
      <c r="AY6" s="152">
        <f>MAX(0,AV6+AW6-AX6)</f>
        <v/>
      </c>
      <c r="AZ6" s="152">
        <f>BC5</f>
        <v/>
      </c>
      <c r="BA6" s="159">
        <f>IF(AZ6&gt;0.005,AZ6*Debts!D20/12,0)</f>
        <v/>
      </c>
      <c r="BB6" s="159" t="n">
        <v>0</v>
      </c>
      <c r="BC6" s="152">
        <f>MAX(0,AZ6+BA6-BB6)</f>
        <v/>
      </c>
      <c r="BD6" s="152">
        <f>BG5</f>
        <v/>
      </c>
      <c r="BE6" s="159">
        <f>IF(BD6&gt;0.005,BD6*Debts!D21/12,0)</f>
        <v/>
      </c>
      <c r="BF6" s="159" t="n">
        <v>0</v>
      </c>
      <c r="BG6" s="152">
        <f>MAX(0,BD6+BE6-BF6)</f>
        <v/>
      </c>
      <c r="BH6" s="152">
        <f>BK5</f>
        <v/>
      </c>
      <c r="BI6" s="159">
        <f>IF(BH6&gt;0.005,BH6*Debts!D22/12,0)</f>
        <v/>
      </c>
      <c r="BJ6" s="159" t="n">
        <v>0</v>
      </c>
      <c r="BK6" s="152">
        <f>MAX(0,BH6+BI6-BJ6)</f>
        <v/>
      </c>
      <c r="BL6" s="152">
        <f>BO5</f>
        <v/>
      </c>
      <c r="BM6" s="159">
        <f>IF(BL6&gt;0.005,BL6*Debts!D23/12,0)</f>
        <v/>
      </c>
      <c r="BN6" s="159" t="n">
        <v>0</v>
      </c>
      <c r="BO6" s="152">
        <f>MAX(0,BL6+BM6-BN6)</f>
        <v/>
      </c>
      <c r="BP6" s="152">
        <f>BS5</f>
        <v/>
      </c>
      <c r="BQ6" s="159">
        <f>IF(BP6&gt;0.005,BP6*Debts!D24/12,0)</f>
        <v/>
      </c>
      <c r="BR6" s="159" t="n">
        <v>0</v>
      </c>
      <c r="BS6" s="152">
        <f>MAX(0,BP6+BQ6-BR6)</f>
        <v/>
      </c>
      <c r="BT6" s="152">
        <f>BW5</f>
        <v/>
      </c>
      <c r="BU6" s="159">
        <f>IF(BT6&gt;0.005,BT6*Debts!D25/12,0)</f>
        <v/>
      </c>
      <c r="BV6" s="159" t="n">
        <v>0</v>
      </c>
      <c r="BW6" s="152">
        <f>MAX(0,BT6+BU6-BV6)</f>
        <v/>
      </c>
      <c r="BX6" s="152">
        <f>CA5</f>
        <v/>
      </c>
      <c r="BY6" s="159">
        <f>IF(BX6&gt;0.005,BX6*Debts!D26/12,0)</f>
        <v/>
      </c>
      <c r="BZ6" s="159" t="n">
        <v>0</v>
      </c>
      <c r="CA6" s="152">
        <f>MAX(0,BX6+BY6-BZ6)</f>
        <v/>
      </c>
      <c r="CB6" s="152">
        <f>CE5</f>
        <v/>
      </c>
      <c r="CC6" s="159">
        <f>IF(CB6&gt;0.005,CB6*Debts!D27/12,0)</f>
        <v/>
      </c>
      <c r="CD6" s="159" t="n">
        <v>0</v>
      </c>
      <c r="CE6" s="152">
        <f>MAX(0,CB6+CC6-CD6)</f>
        <v/>
      </c>
      <c r="CF6" s="152">
        <f>G6+K6+O6+S6+W6+AA6+AE6+AI6+AM6+AQ6+AU6+AY6+BC6+BG6+BK6+BO6+BS6+BW6+CA6+CE6</f>
        <v/>
      </c>
      <c r="CG6" s="159">
        <f>E6+I6+M6+Q6+U6+Y6+AC6+AG6+AK6+AO6+AS6+AW6+BA6+BE6+BI6+BM6+BQ6+BU6+BY6+CC6</f>
        <v/>
      </c>
      <c r="CH6" s="152">
        <f>CH5+CG6</f>
        <v/>
      </c>
      <c r="CI6" s="148" t="n"/>
      <c r="CJ6" s="148" t="n"/>
    </row>
    <row r="7" ht="15" customHeight="1" s="83">
      <c r="A7" s="148" t="n"/>
      <c r="B7" s="158" t="n">
        <v>3</v>
      </c>
      <c r="C7" s="152">
        <f>F7+J7+N7+R7+V7+Z7+AD7+AH7+AL7+AP7+AT7+AX7+BB7+BF7+BJ7+BN7+BR7+BV7+BZ7+CD7</f>
        <v/>
      </c>
      <c r="D7" s="152">
        <f>G6</f>
        <v/>
      </c>
      <c r="E7" s="159">
        <f>IF(D7&gt;0.005,D7*Debts!D8/12,0)</f>
        <v/>
      </c>
      <c r="F7" s="159" t="n">
        <v>0</v>
      </c>
      <c r="G7" s="152">
        <f>MAX(0,D7+E7-F7)</f>
        <v/>
      </c>
      <c r="H7" s="152">
        <f>K6</f>
        <v/>
      </c>
      <c r="I7" s="159">
        <f>IF(H7&gt;0.005,H7*Debts!D9/12,0)</f>
        <v/>
      </c>
      <c r="J7" s="159" t="n">
        <v>0</v>
      </c>
      <c r="K7" s="152">
        <f>MAX(0,H7+I7-J7)</f>
        <v/>
      </c>
      <c r="L7" s="152">
        <f>O6</f>
        <v/>
      </c>
      <c r="M7" s="159">
        <f>IF(L7&gt;0.005,L7*Debts!D10/12,0)</f>
        <v/>
      </c>
      <c r="N7" s="159" t="n">
        <v>0</v>
      </c>
      <c r="O7" s="152">
        <f>MAX(0,L7+M7-N7)</f>
        <v/>
      </c>
      <c r="P7" s="152">
        <f>S6</f>
        <v/>
      </c>
      <c r="Q7" s="159">
        <f>IF(P7&gt;0.005,P7*Debts!D11/12,0)</f>
        <v/>
      </c>
      <c r="R7" s="159" t="n">
        <v>0</v>
      </c>
      <c r="S7" s="152">
        <f>MAX(0,P7+Q7-R7)</f>
        <v/>
      </c>
      <c r="T7" s="152">
        <f>W6</f>
        <v/>
      </c>
      <c r="U7" s="159">
        <f>IF(T7&gt;0.005,T7*Debts!D12/12,0)</f>
        <v/>
      </c>
      <c r="V7" s="159" t="n">
        <v>0</v>
      </c>
      <c r="W7" s="152">
        <f>MAX(0,T7+U7-V7)</f>
        <v/>
      </c>
      <c r="X7" s="152">
        <f>AA6</f>
        <v/>
      </c>
      <c r="Y7" s="159">
        <f>IF(X7&gt;0.005,X7*Debts!D13/12,0)</f>
        <v/>
      </c>
      <c r="Z7" s="159" t="n">
        <v>0</v>
      </c>
      <c r="AA7" s="152">
        <f>MAX(0,X7+Y7-Z7)</f>
        <v/>
      </c>
      <c r="AB7" s="152">
        <f>AE6</f>
        <v/>
      </c>
      <c r="AC7" s="159">
        <f>IF(AB7&gt;0.005,AB7*Debts!D14/12,0)</f>
        <v/>
      </c>
      <c r="AD7" s="159" t="n">
        <v>0</v>
      </c>
      <c r="AE7" s="152">
        <f>MAX(0,AB7+AC7-AD7)</f>
        <v/>
      </c>
      <c r="AF7" s="152">
        <f>AI6</f>
        <v/>
      </c>
      <c r="AG7" s="159">
        <f>IF(AF7&gt;0.005,AF7*Debts!D15/12,0)</f>
        <v/>
      </c>
      <c r="AH7" s="159" t="n">
        <v>0</v>
      </c>
      <c r="AI7" s="152">
        <f>MAX(0,AF7+AG7-AH7)</f>
        <v/>
      </c>
      <c r="AJ7" s="152">
        <f>AM6</f>
        <v/>
      </c>
      <c r="AK7" s="159">
        <f>IF(AJ7&gt;0.005,AJ7*Debts!D16/12,0)</f>
        <v/>
      </c>
      <c r="AL7" s="159" t="n">
        <v>0</v>
      </c>
      <c r="AM7" s="152">
        <f>MAX(0,AJ7+AK7-AL7)</f>
        <v/>
      </c>
      <c r="AN7" s="152">
        <f>AQ6</f>
        <v/>
      </c>
      <c r="AO7" s="159">
        <f>IF(AN7&gt;0.005,AN7*Debts!D17/12,0)</f>
        <v/>
      </c>
      <c r="AP7" s="159" t="n">
        <v>0</v>
      </c>
      <c r="AQ7" s="152">
        <f>MAX(0,AN7+AO7-AP7)</f>
        <v/>
      </c>
      <c r="AR7" s="152">
        <f>AU6</f>
        <v/>
      </c>
      <c r="AS7" s="159">
        <f>IF(AR7&gt;0.005,AR7*Debts!D18/12,0)</f>
        <v/>
      </c>
      <c r="AT7" s="159" t="n">
        <v>0</v>
      </c>
      <c r="AU7" s="152">
        <f>MAX(0,AR7+AS7-AT7)</f>
        <v/>
      </c>
      <c r="AV7" s="152">
        <f>AY6</f>
        <v/>
      </c>
      <c r="AW7" s="159">
        <f>IF(AV7&gt;0.005,AV7*Debts!D19/12,0)</f>
        <v/>
      </c>
      <c r="AX7" s="159" t="n">
        <v>0</v>
      </c>
      <c r="AY7" s="152">
        <f>MAX(0,AV7+AW7-AX7)</f>
        <v/>
      </c>
      <c r="AZ7" s="152">
        <f>BC6</f>
        <v/>
      </c>
      <c r="BA7" s="159">
        <f>IF(AZ7&gt;0.005,AZ7*Debts!D20/12,0)</f>
        <v/>
      </c>
      <c r="BB7" s="159" t="n">
        <v>0</v>
      </c>
      <c r="BC7" s="152">
        <f>MAX(0,AZ7+BA7-BB7)</f>
        <v/>
      </c>
      <c r="BD7" s="152">
        <f>BG6</f>
        <v/>
      </c>
      <c r="BE7" s="159">
        <f>IF(BD7&gt;0.005,BD7*Debts!D21/12,0)</f>
        <v/>
      </c>
      <c r="BF7" s="159" t="n">
        <v>0</v>
      </c>
      <c r="BG7" s="152">
        <f>MAX(0,BD7+BE7-BF7)</f>
        <v/>
      </c>
      <c r="BH7" s="152">
        <f>BK6</f>
        <v/>
      </c>
      <c r="BI7" s="159">
        <f>IF(BH7&gt;0.005,BH7*Debts!D22/12,0)</f>
        <v/>
      </c>
      <c r="BJ7" s="159" t="n">
        <v>0</v>
      </c>
      <c r="BK7" s="152">
        <f>MAX(0,BH7+BI7-BJ7)</f>
        <v/>
      </c>
      <c r="BL7" s="152">
        <f>BO6</f>
        <v/>
      </c>
      <c r="BM7" s="159">
        <f>IF(BL7&gt;0.005,BL7*Debts!D23/12,0)</f>
        <v/>
      </c>
      <c r="BN7" s="159" t="n">
        <v>0</v>
      </c>
      <c r="BO7" s="152">
        <f>MAX(0,BL7+BM7-BN7)</f>
        <v/>
      </c>
      <c r="BP7" s="152">
        <f>BS6</f>
        <v/>
      </c>
      <c r="BQ7" s="159">
        <f>IF(BP7&gt;0.005,BP7*Debts!D24/12,0)</f>
        <v/>
      </c>
      <c r="BR7" s="159" t="n">
        <v>0</v>
      </c>
      <c r="BS7" s="152">
        <f>MAX(0,BP7+BQ7-BR7)</f>
        <v/>
      </c>
      <c r="BT7" s="152">
        <f>BW6</f>
        <v/>
      </c>
      <c r="BU7" s="159">
        <f>IF(BT7&gt;0.005,BT7*Debts!D25/12,0)</f>
        <v/>
      </c>
      <c r="BV7" s="159" t="n">
        <v>0</v>
      </c>
      <c r="BW7" s="152">
        <f>MAX(0,BT7+BU7-BV7)</f>
        <v/>
      </c>
      <c r="BX7" s="152">
        <f>CA6</f>
        <v/>
      </c>
      <c r="BY7" s="159">
        <f>IF(BX7&gt;0.005,BX7*Debts!D26/12,0)</f>
        <v/>
      </c>
      <c r="BZ7" s="159" t="n">
        <v>0</v>
      </c>
      <c r="CA7" s="152">
        <f>MAX(0,BX7+BY7-BZ7)</f>
        <v/>
      </c>
      <c r="CB7" s="152">
        <f>CE6</f>
        <v/>
      </c>
      <c r="CC7" s="159">
        <f>IF(CB7&gt;0.005,CB7*Debts!D27/12,0)</f>
        <v/>
      </c>
      <c r="CD7" s="159" t="n">
        <v>0</v>
      </c>
      <c r="CE7" s="152">
        <f>MAX(0,CB7+CC7-CD7)</f>
        <v/>
      </c>
      <c r="CF7" s="152">
        <f>G7+K7+O7+S7+W7+AA7+AE7+AI7+AM7+AQ7+AU7+AY7+BC7+BG7+BK7+BO7+BS7+BW7+CA7+CE7</f>
        <v/>
      </c>
      <c r="CG7" s="159">
        <f>E7+I7+M7+Q7+U7+Y7+AC7+AG7+AK7+AO7+AS7+AW7+BA7+BE7+BI7+BM7+BQ7+BU7+BY7+CC7</f>
        <v/>
      </c>
      <c r="CH7" s="152">
        <f>CH6+CG7</f>
        <v/>
      </c>
      <c r="CI7" s="148" t="n"/>
      <c r="CJ7" s="148" t="n"/>
    </row>
    <row r="8" ht="15" customHeight="1" s="83">
      <c r="A8" s="148" t="n"/>
      <c r="B8" s="158" t="n">
        <v>4</v>
      </c>
      <c r="C8" s="152">
        <f>F8+J8+N8+R8+V8+Z8+AD8+AH8+AL8+AP8+AT8+AX8+BB8+BF8+BJ8+BN8+BR8+BV8+BZ8+CD8</f>
        <v/>
      </c>
      <c r="D8" s="152">
        <f>G7</f>
        <v/>
      </c>
      <c r="E8" s="159">
        <f>IF(D8&gt;0.005,D8*Debts!D8/12,0)</f>
        <v/>
      </c>
      <c r="F8" s="159" t="n">
        <v>0</v>
      </c>
      <c r="G8" s="152">
        <f>MAX(0,D8+E8-F8)</f>
        <v/>
      </c>
      <c r="H8" s="152">
        <f>K7</f>
        <v/>
      </c>
      <c r="I8" s="159">
        <f>IF(H8&gt;0.005,H8*Debts!D9/12,0)</f>
        <v/>
      </c>
      <c r="J8" s="159" t="n">
        <v>0</v>
      </c>
      <c r="K8" s="152">
        <f>MAX(0,H8+I8-J8)</f>
        <v/>
      </c>
      <c r="L8" s="152">
        <f>O7</f>
        <v/>
      </c>
      <c r="M8" s="159">
        <f>IF(L8&gt;0.005,L8*Debts!D10/12,0)</f>
        <v/>
      </c>
      <c r="N8" s="159" t="n">
        <v>0</v>
      </c>
      <c r="O8" s="152">
        <f>MAX(0,L8+M8-N8)</f>
        <v/>
      </c>
      <c r="P8" s="152">
        <f>S7</f>
        <v/>
      </c>
      <c r="Q8" s="159">
        <f>IF(P8&gt;0.005,P8*Debts!D11/12,0)</f>
        <v/>
      </c>
      <c r="R8" s="159" t="n">
        <v>0</v>
      </c>
      <c r="S8" s="152">
        <f>MAX(0,P8+Q8-R8)</f>
        <v/>
      </c>
      <c r="T8" s="152">
        <f>W7</f>
        <v/>
      </c>
      <c r="U8" s="159">
        <f>IF(T8&gt;0.005,T8*Debts!D12/12,0)</f>
        <v/>
      </c>
      <c r="V8" s="159" t="n">
        <v>0</v>
      </c>
      <c r="W8" s="152">
        <f>MAX(0,T8+U8-V8)</f>
        <v/>
      </c>
      <c r="X8" s="152">
        <f>AA7</f>
        <v/>
      </c>
      <c r="Y8" s="159">
        <f>IF(X8&gt;0.005,X8*Debts!D13/12,0)</f>
        <v/>
      </c>
      <c r="Z8" s="159" t="n">
        <v>0</v>
      </c>
      <c r="AA8" s="152">
        <f>MAX(0,X8+Y8-Z8)</f>
        <v/>
      </c>
      <c r="AB8" s="152">
        <f>AE7</f>
        <v/>
      </c>
      <c r="AC8" s="159">
        <f>IF(AB8&gt;0.005,AB8*Debts!D14/12,0)</f>
        <v/>
      </c>
      <c r="AD8" s="159" t="n">
        <v>0</v>
      </c>
      <c r="AE8" s="152">
        <f>MAX(0,AB8+AC8-AD8)</f>
        <v/>
      </c>
      <c r="AF8" s="152">
        <f>AI7</f>
        <v/>
      </c>
      <c r="AG8" s="159">
        <f>IF(AF8&gt;0.005,AF8*Debts!D15/12,0)</f>
        <v/>
      </c>
      <c r="AH8" s="159" t="n">
        <v>0</v>
      </c>
      <c r="AI8" s="152">
        <f>MAX(0,AF8+AG8-AH8)</f>
        <v/>
      </c>
      <c r="AJ8" s="152">
        <f>AM7</f>
        <v/>
      </c>
      <c r="AK8" s="159">
        <f>IF(AJ8&gt;0.005,AJ8*Debts!D16/12,0)</f>
        <v/>
      </c>
      <c r="AL8" s="159" t="n">
        <v>0</v>
      </c>
      <c r="AM8" s="152">
        <f>MAX(0,AJ8+AK8-AL8)</f>
        <v/>
      </c>
      <c r="AN8" s="152">
        <f>AQ7</f>
        <v/>
      </c>
      <c r="AO8" s="159">
        <f>IF(AN8&gt;0.005,AN8*Debts!D17/12,0)</f>
        <v/>
      </c>
      <c r="AP8" s="159" t="n">
        <v>0</v>
      </c>
      <c r="AQ8" s="152">
        <f>MAX(0,AN8+AO8-AP8)</f>
        <v/>
      </c>
      <c r="AR8" s="152">
        <f>AU7</f>
        <v/>
      </c>
      <c r="AS8" s="159">
        <f>IF(AR8&gt;0.005,AR8*Debts!D18/12,0)</f>
        <v/>
      </c>
      <c r="AT8" s="159" t="n">
        <v>0</v>
      </c>
      <c r="AU8" s="152">
        <f>MAX(0,AR8+AS8-AT8)</f>
        <v/>
      </c>
      <c r="AV8" s="152">
        <f>AY7</f>
        <v/>
      </c>
      <c r="AW8" s="159">
        <f>IF(AV8&gt;0.005,AV8*Debts!D19/12,0)</f>
        <v/>
      </c>
      <c r="AX8" s="159" t="n">
        <v>0</v>
      </c>
      <c r="AY8" s="152">
        <f>MAX(0,AV8+AW8-AX8)</f>
        <v/>
      </c>
      <c r="AZ8" s="152">
        <f>BC7</f>
        <v/>
      </c>
      <c r="BA8" s="159">
        <f>IF(AZ8&gt;0.005,AZ8*Debts!D20/12,0)</f>
        <v/>
      </c>
      <c r="BB8" s="159" t="n">
        <v>0</v>
      </c>
      <c r="BC8" s="152">
        <f>MAX(0,AZ8+BA8-BB8)</f>
        <v/>
      </c>
      <c r="BD8" s="152">
        <f>BG7</f>
        <v/>
      </c>
      <c r="BE8" s="159">
        <f>IF(BD8&gt;0.005,BD8*Debts!D21/12,0)</f>
        <v/>
      </c>
      <c r="BF8" s="159" t="n">
        <v>0</v>
      </c>
      <c r="BG8" s="152">
        <f>MAX(0,BD8+BE8-BF8)</f>
        <v/>
      </c>
      <c r="BH8" s="152">
        <f>BK7</f>
        <v/>
      </c>
      <c r="BI8" s="159">
        <f>IF(BH8&gt;0.005,BH8*Debts!D22/12,0)</f>
        <v/>
      </c>
      <c r="BJ8" s="159" t="n">
        <v>0</v>
      </c>
      <c r="BK8" s="152">
        <f>MAX(0,BH8+BI8-BJ8)</f>
        <v/>
      </c>
      <c r="BL8" s="152">
        <f>BO7</f>
        <v/>
      </c>
      <c r="BM8" s="159">
        <f>IF(BL8&gt;0.005,BL8*Debts!D23/12,0)</f>
        <v/>
      </c>
      <c r="BN8" s="159" t="n">
        <v>0</v>
      </c>
      <c r="BO8" s="152">
        <f>MAX(0,BL8+BM8-BN8)</f>
        <v/>
      </c>
      <c r="BP8" s="152">
        <f>BS7</f>
        <v/>
      </c>
      <c r="BQ8" s="159">
        <f>IF(BP8&gt;0.005,BP8*Debts!D24/12,0)</f>
        <v/>
      </c>
      <c r="BR8" s="159" t="n">
        <v>0</v>
      </c>
      <c r="BS8" s="152">
        <f>MAX(0,BP8+BQ8-BR8)</f>
        <v/>
      </c>
      <c r="BT8" s="152">
        <f>BW7</f>
        <v/>
      </c>
      <c r="BU8" s="159">
        <f>IF(BT8&gt;0.005,BT8*Debts!D25/12,0)</f>
        <v/>
      </c>
      <c r="BV8" s="159" t="n">
        <v>0</v>
      </c>
      <c r="BW8" s="152">
        <f>MAX(0,BT8+BU8-BV8)</f>
        <v/>
      </c>
      <c r="BX8" s="152">
        <f>CA7</f>
        <v/>
      </c>
      <c r="BY8" s="159">
        <f>IF(BX8&gt;0.005,BX8*Debts!D26/12,0)</f>
        <v/>
      </c>
      <c r="BZ8" s="159" t="n">
        <v>0</v>
      </c>
      <c r="CA8" s="152">
        <f>MAX(0,BX8+BY8-BZ8)</f>
        <v/>
      </c>
      <c r="CB8" s="152">
        <f>CE7</f>
        <v/>
      </c>
      <c r="CC8" s="159">
        <f>IF(CB8&gt;0.005,CB8*Debts!D27/12,0)</f>
        <v/>
      </c>
      <c r="CD8" s="159" t="n">
        <v>0</v>
      </c>
      <c r="CE8" s="152">
        <f>MAX(0,CB8+CC8-CD8)</f>
        <v/>
      </c>
      <c r="CF8" s="152">
        <f>G8+K8+O8+S8+W8+AA8+AE8+AI8+AM8+AQ8+AU8+AY8+BC8+BG8+BK8+BO8+BS8+BW8+CA8+CE8</f>
        <v/>
      </c>
      <c r="CG8" s="159">
        <f>E8+I8+M8+Q8+U8+Y8+AC8+AG8+AK8+AO8+AS8+AW8+BA8+BE8+BI8+BM8+BQ8+BU8+BY8+CC8</f>
        <v/>
      </c>
      <c r="CH8" s="152">
        <f>CH7+CG8</f>
        <v/>
      </c>
      <c r="CI8" s="148" t="n"/>
      <c r="CJ8" s="148" t="n"/>
    </row>
    <row r="9" ht="15" customHeight="1" s="83">
      <c r="A9" s="148" t="n"/>
      <c r="B9" s="158" t="n">
        <v>5</v>
      </c>
      <c r="C9" s="152">
        <f>F9+J9+N9+R9+V9+Z9+AD9+AH9+AL9+AP9+AT9+AX9+BB9+BF9+BJ9+BN9+BR9+BV9+BZ9+CD9</f>
        <v/>
      </c>
      <c r="D9" s="152">
        <f>G8</f>
        <v/>
      </c>
      <c r="E9" s="159">
        <f>IF(D9&gt;0.005,D9*Debts!D8/12,0)</f>
        <v/>
      </c>
      <c r="F9" s="159" t="n">
        <v>0</v>
      </c>
      <c r="G9" s="152">
        <f>MAX(0,D9+E9-F9)</f>
        <v/>
      </c>
      <c r="H9" s="152">
        <f>K8</f>
        <v/>
      </c>
      <c r="I9" s="159">
        <f>IF(H9&gt;0.005,H9*Debts!D9/12,0)</f>
        <v/>
      </c>
      <c r="J9" s="159" t="n">
        <v>0</v>
      </c>
      <c r="K9" s="152">
        <f>MAX(0,H9+I9-J9)</f>
        <v/>
      </c>
      <c r="L9" s="152">
        <f>O8</f>
        <v/>
      </c>
      <c r="M9" s="159">
        <f>IF(L9&gt;0.005,L9*Debts!D10/12,0)</f>
        <v/>
      </c>
      <c r="N9" s="159" t="n">
        <v>0</v>
      </c>
      <c r="O9" s="152">
        <f>MAX(0,L9+M9-N9)</f>
        <v/>
      </c>
      <c r="P9" s="152">
        <f>S8</f>
        <v/>
      </c>
      <c r="Q9" s="159">
        <f>IF(P9&gt;0.005,P9*Debts!D11/12,0)</f>
        <v/>
      </c>
      <c r="R9" s="159" t="n">
        <v>0</v>
      </c>
      <c r="S9" s="152">
        <f>MAX(0,P9+Q9-R9)</f>
        <v/>
      </c>
      <c r="T9" s="152">
        <f>W8</f>
        <v/>
      </c>
      <c r="U9" s="159">
        <f>IF(T9&gt;0.005,T9*Debts!D12/12,0)</f>
        <v/>
      </c>
      <c r="V9" s="159" t="n">
        <v>0</v>
      </c>
      <c r="W9" s="152">
        <f>MAX(0,T9+U9-V9)</f>
        <v/>
      </c>
      <c r="X9" s="152">
        <f>AA8</f>
        <v/>
      </c>
      <c r="Y9" s="159">
        <f>IF(X9&gt;0.005,X9*Debts!D13/12,0)</f>
        <v/>
      </c>
      <c r="Z9" s="159" t="n">
        <v>0</v>
      </c>
      <c r="AA9" s="152">
        <f>MAX(0,X9+Y9-Z9)</f>
        <v/>
      </c>
      <c r="AB9" s="152">
        <f>AE8</f>
        <v/>
      </c>
      <c r="AC9" s="159">
        <f>IF(AB9&gt;0.005,AB9*Debts!D14/12,0)</f>
        <v/>
      </c>
      <c r="AD9" s="159" t="n">
        <v>0</v>
      </c>
      <c r="AE9" s="152">
        <f>MAX(0,AB9+AC9-AD9)</f>
        <v/>
      </c>
      <c r="AF9" s="152">
        <f>AI8</f>
        <v/>
      </c>
      <c r="AG9" s="159">
        <f>IF(AF9&gt;0.005,AF9*Debts!D15/12,0)</f>
        <v/>
      </c>
      <c r="AH9" s="159" t="n">
        <v>0</v>
      </c>
      <c r="AI9" s="152">
        <f>MAX(0,AF9+AG9-AH9)</f>
        <v/>
      </c>
      <c r="AJ9" s="152">
        <f>AM8</f>
        <v/>
      </c>
      <c r="AK9" s="159">
        <f>IF(AJ9&gt;0.005,AJ9*Debts!D16/12,0)</f>
        <v/>
      </c>
      <c r="AL9" s="159" t="n">
        <v>0</v>
      </c>
      <c r="AM9" s="152">
        <f>MAX(0,AJ9+AK9-AL9)</f>
        <v/>
      </c>
      <c r="AN9" s="152">
        <f>AQ8</f>
        <v/>
      </c>
      <c r="AO9" s="159">
        <f>IF(AN9&gt;0.005,AN9*Debts!D17/12,0)</f>
        <v/>
      </c>
      <c r="AP9" s="159" t="n">
        <v>0</v>
      </c>
      <c r="AQ9" s="152">
        <f>MAX(0,AN9+AO9-AP9)</f>
        <v/>
      </c>
      <c r="AR9" s="152">
        <f>AU8</f>
        <v/>
      </c>
      <c r="AS9" s="159">
        <f>IF(AR9&gt;0.005,AR9*Debts!D18/12,0)</f>
        <v/>
      </c>
      <c r="AT9" s="159" t="n">
        <v>0</v>
      </c>
      <c r="AU9" s="152">
        <f>MAX(0,AR9+AS9-AT9)</f>
        <v/>
      </c>
      <c r="AV9" s="152">
        <f>AY8</f>
        <v/>
      </c>
      <c r="AW9" s="159">
        <f>IF(AV9&gt;0.005,AV9*Debts!D19/12,0)</f>
        <v/>
      </c>
      <c r="AX9" s="159" t="n">
        <v>0</v>
      </c>
      <c r="AY9" s="152">
        <f>MAX(0,AV9+AW9-AX9)</f>
        <v/>
      </c>
      <c r="AZ9" s="152">
        <f>BC8</f>
        <v/>
      </c>
      <c r="BA9" s="159">
        <f>IF(AZ9&gt;0.005,AZ9*Debts!D20/12,0)</f>
        <v/>
      </c>
      <c r="BB9" s="159" t="n">
        <v>0</v>
      </c>
      <c r="BC9" s="152">
        <f>MAX(0,AZ9+BA9-BB9)</f>
        <v/>
      </c>
      <c r="BD9" s="152">
        <f>BG8</f>
        <v/>
      </c>
      <c r="BE9" s="159">
        <f>IF(BD9&gt;0.005,BD9*Debts!D21/12,0)</f>
        <v/>
      </c>
      <c r="BF9" s="159" t="n">
        <v>0</v>
      </c>
      <c r="BG9" s="152">
        <f>MAX(0,BD9+BE9-BF9)</f>
        <v/>
      </c>
      <c r="BH9" s="152">
        <f>BK8</f>
        <v/>
      </c>
      <c r="BI9" s="159">
        <f>IF(BH9&gt;0.005,BH9*Debts!D22/12,0)</f>
        <v/>
      </c>
      <c r="BJ9" s="159" t="n">
        <v>0</v>
      </c>
      <c r="BK9" s="152">
        <f>MAX(0,BH9+BI9-BJ9)</f>
        <v/>
      </c>
      <c r="BL9" s="152">
        <f>BO8</f>
        <v/>
      </c>
      <c r="BM9" s="159">
        <f>IF(BL9&gt;0.005,BL9*Debts!D23/12,0)</f>
        <v/>
      </c>
      <c r="BN9" s="159" t="n">
        <v>0</v>
      </c>
      <c r="BO9" s="152">
        <f>MAX(0,BL9+BM9-BN9)</f>
        <v/>
      </c>
      <c r="BP9" s="152">
        <f>BS8</f>
        <v/>
      </c>
      <c r="BQ9" s="159">
        <f>IF(BP9&gt;0.005,BP9*Debts!D24/12,0)</f>
        <v/>
      </c>
      <c r="BR9" s="159" t="n">
        <v>0</v>
      </c>
      <c r="BS9" s="152">
        <f>MAX(0,BP9+BQ9-BR9)</f>
        <v/>
      </c>
      <c r="BT9" s="152">
        <f>BW8</f>
        <v/>
      </c>
      <c r="BU9" s="159">
        <f>IF(BT9&gt;0.005,BT9*Debts!D25/12,0)</f>
        <v/>
      </c>
      <c r="BV9" s="159" t="n">
        <v>0</v>
      </c>
      <c r="BW9" s="152">
        <f>MAX(0,BT9+BU9-BV9)</f>
        <v/>
      </c>
      <c r="BX9" s="152">
        <f>CA8</f>
        <v/>
      </c>
      <c r="BY9" s="159">
        <f>IF(BX9&gt;0.005,BX9*Debts!D26/12,0)</f>
        <v/>
      </c>
      <c r="BZ9" s="159" t="n">
        <v>0</v>
      </c>
      <c r="CA9" s="152">
        <f>MAX(0,BX9+BY9-BZ9)</f>
        <v/>
      </c>
      <c r="CB9" s="152">
        <f>CE8</f>
        <v/>
      </c>
      <c r="CC9" s="159">
        <f>IF(CB9&gt;0.005,CB9*Debts!D27/12,0)</f>
        <v/>
      </c>
      <c r="CD9" s="159" t="n">
        <v>0</v>
      </c>
      <c r="CE9" s="152">
        <f>MAX(0,CB9+CC9-CD9)</f>
        <v/>
      </c>
      <c r="CF9" s="152">
        <f>G9+K9+O9+S9+W9+AA9+AE9+AI9+AM9+AQ9+AU9+AY9+BC9+BG9+BK9+BO9+BS9+BW9+CA9+CE9</f>
        <v/>
      </c>
      <c r="CG9" s="159">
        <f>E9+I9+M9+Q9+U9+Y9+AC9+AG9+AK9+AO9+AS9+AW9+BA9+BE9+BI9+BM9+BQ9+BU9+BY9+CC9</f>
        <v/>
      </c>
      <c r="CH9" s="152">
        <f>CH8+CG9</f>
        <v/>
      </c>
      <c r="CI9" s="148" t="n"/>
      <c r="CJ9" s="148" t="n"/>
    </row>
    <row r="10" ht="15" customHeight="1" s="83">
      <c r="A10" s="148" t="n"/>
      <c r="B10" s="158" t="n">
        <v>6</v>
      </c>
      <c r="C10" s="152">
        <f>F10+J10+N10+R10+V10+Z10+AD10+AH10+AL10+AP10+AT10+AX10+BB10+BF10+BJ10+BN10+BR10+BV10+BZ10+CD10</f>
        <v/>
      </c>
      <c r="D10" s="152">
        <f>G9</f>
        <v/>
      </c>
      <c r="E10" s="159">
        <f>IF(D10&gt;0.005,D10*Debts!D8/12,0)</f>
        <v/>
      </c>
      <c r="F10" s="159" t="n">
        <v>0</v>
      </c>
      <c r="G10" s="152">
        <f>MAX(0,D10+E10-F10)</f>
        <v/>
      </c>
      <c r="H10" s="152">
        <f>K9</f>
        <v/>
      </c>
      <c r="I10" s="159">
        <f>IF(H10&gt;0.005,H10*Debts!D9/12,0)</f>
        <v/>
      </c>
      <c r="J10" s="159" t="n">
        <v>0</v>
      </c>
      <c r="K10" s="152">
        <f>MAX(0,H10+I10-J10)</f>
        <v/>
      </c>
      <c r="L10" s="152">
        <f>O9</f>
        <v/>
      </c>
      <c r="M10" s="159">
        <f>IF(L10&gt;0.005,L10*Debts!D10/12,0)</f>
        <v/>
      </c>
      <c r="N10" s="159" t="n">
        <v>0</v>
      </c>
      <c r="O10" s="152">
        <f>MAX(0,L10+M10-N10)</f>
        <v/>
      </c>
      <c r="P10" s="152">
        <f>S9</f>
        <v/>
      </c>
      <c r="Q10" s="159">
        <f>IF(P10&gt;0.005,P10*Debts!D11/12,0)</f>
        <v/>
      </c>
      <c r="R10" s="159" t="n">
        <v>0</v>
      </c>
      <c r="S10" s="152">
        <f>MAX(0,P10+Q10-R10)</f>
        <v/>
      </c>
      <c r="T10" s="152">
        <f>W9</f>
        <v/>
      </c>
      <c r="U10" s="159">
        <f>IF(T10&gt;0.005,T10*Debts!D12/12,0)</f>
        <v/>
      </c>
      <c r="V10" s="159" t="n">
        <v>0</v>
      </c>
      <c r="W10" s="152">
        <f>MAX(0,T10+U10-V10)</f>
        <v/>
      </c>
      <c r="X10" s="152">
        <f>AA9</f>
        <v/>
      </c>
      <c r="Y10" s="159">
        <f>IF(X10&gt;0.005,X10*Debts!D13/12,0)</f>
        <v/>
      </c>
      <c r="Z10" s="159" t="n">
        <v>0</v>
      </c>
      <c r="AA10" s="152">
        <f>MAX(0,X10+Y10-Z10)</f>
        <v/>
      </c>
      <c r="AB10" s="152">
        <f>AE9</f>
        <v/>
      </c>
      <c r="AC10" s="159">
        <f>IF(AB10&gt;0.005,AB10*Debts!D14/12,0)</f>
        <v/>
      </c>
      <c r="AD10" s="159" t="n">
        <v>0</v>
      </c>
      <c r="AE10" s="152">
        <f>MAX(0,AB10+AC10-AD10)</f>
        <v/>
      </c>
      <c r="AF10" s="152">
        <f>AI9</f>
        <v/>
      </c>
      <c r="AG10" s="159">
        <f>IF(AF10&gt;0.005,AF10*Debts!D15/12,0)</f>
        <v/>
      </c>
      <c r="AH10" s="159" t="n">
        <v>0</v>
      </c>
      <c r="AI10" s="152">
        <f>MAX(0,AF10+AG10-AH10)</f>
        <v/>
      </c>
      <c r="AJ10" s="152">
        <f>AM9</f>
        <v/>
      </c>
      <c r="AK10" s="159">
        <f>IF(AJ10&gt;0.005,AJ10*Debts!D16/12,0)</f>
        <v/>
      </c>
      <c r="AL10" s="159" t="n">
        <v>0</v>
      </c>
      <c r="AM10" s="152">
        <f>MAX(0,AJ10+AK10-AL10)</f>
        <v/>
      </c>
      <c r="AN10" s="152">
        <f>AQ9</f>
        <v/>
      </c>
      <c r="AO10" s="159">
        <f>IF(AN10&gt;0.005,AN10*Debts!D17/12,0)</f>
        <v/>
      </c>
      <c r="AP10" s="159" t="n">
        <v>0</v>
      </c>
      <c r="AQ10" s="152">
        <f>MAX(0,AN10+AO10-AP10)</f>
        <v/>
      </c>
      <c r="AR10" s="152">
        <f>AU9</f>
        <v/>
      </c>
      <c r="AS10" s="159">
        <f>IF(AR10&gt;0.005,AR10*Debts!D18/12,0)</f>
        <v/>
      </c>
      <c r="AT10" s="159" t="n">
        <v>0</v>
      </c>
      <c r="AU10" s="152">
        <f>MAX(0,AR10+AS10-AT10)</f>
        <v/>
      </c>
      <c r="AV10" s="152">
        <f>AY9</f>
        <v/>
      </c>
      <c r="AW10" s="159">
        <f>IF(AV10&gt;0.005,AV10*Debts!D19/12,0)</f>
        <v/>
      </c>
      <c r="AX10" s="159" t="n">
        <v>0</v>
      </c>
      <c r="AY10" s="152">
        <f>MAX(0,AV10+AW10-AX10)</f>
        <v/>
      </c>
      <c r="AZ10" s="152">
        <f>BC9</f>
        <v/>
      </c>
      <c r="BA10" s="159">
        <f>IF(AZ10&gt;0.005,AZ10*Debts!D20/12,0)</f>
        <v/>
      </c>
      <c r="BB10" s="159" t="n">
        <v>0</v>
      </c>
      <c r="BC10" s="152">
        <f>MAX(0,AZ10+BA10-BB10)</f>
        <v/>
      </c>
      <c r="BD10" s="152">
        <f>BG9</f>
        <v/>
      </c>
      <c r="BE10" s="159">
        <f>IF(BD10&gt;0.005,BD10*Debts!D21/12,0)</f>
        <v/>
      </c>
      <c r="BF10" s="159" t="n">
        <v>0</v>
      </c>
      <c r="BG10" s="152">
        <f>MAX(0,BD10+BE10-BF10)</f>
        <v/>
      </c>
      <c r="BH10" s="152">
        <f>BK9</f>
        <v/>
      </c>
      <c r="BI10" s="159">
        <f>IF(BH10&gt;0.005,BH10*Debts!D22/12,0)</f>
        <v/>
      </c>
      <c r="BJ10" s="159" t="n">
        <v>0</v>
      </c>
      <c r="BK10" s="152">
        <f>MAX(0,BH10+BI10-BJ10)</f>
        <v/>
      </c>
      <c r="BL10" s="152">
        <f>BO9</f>
        <v/>
      </c>
      <c r="BM10" s="159">
        <f>IF(BL10&gt;0.005,BL10*Debts!D23/12,0)</f>
        <v/>
      </c>
      <c r="BN10" s="159" t="n">
        <v>0</v>
      </c>
      <c r="BO10" s="152">
        <f>MAX(0,BL10+BM10-BN10)</f>
        <v/>
      </c>
      <c r="BP10" s="152">
        <f>BS9</f>
        <v/>
      </c>
      <c r="BQ10" s="159">
        <f>IF(BP10&gt;0.005,BP10*Debts!D24/12,0)</f>
        <v/>
      </c>
      <c r="BR10" s="159" t="n">
        <v>0</v>
      </c>
      <c r="BS10" s="152">
        <f>MAX(0,BP10+BQ10-BR10)</f>
        <v/>
      </c>
      <c r="BT10" s="152">
        <f>BW9</f>
        <v/>
      </c>
      <c r="BU10" s="159">
        <f>IF(BT10&gt;0.005,BT10*Debts!D25/12,0)</f>
        <v/>
      </c>
      <c r="BV10" s="159" t="n">
        <v>0</v>
      </c>
      <c r="BW10" s="152">
        <f>MAX(0,BT10+BU10-BV10)</f>
        <v/>
      </c>
      <c r="BX10" s="152">
        <f>CA9</f>
        <v/>
      </c>
      <c r="BY10" s="159">
        <f>IF(BX10&gt;0.005,BX10*Debts!D26/12,0)</f>
        <v/>
      </c>
      <c r="BZ10" s="159" t="n">
        <v>0</v>
      </c>
      <c r="CA10" s="152">
        <f>MAX(0,BX10+BY10-BZ10)</f>
        <v/>
      </c>
      <c r="CB10" s="152">
        <f>CE9</f>
        <v/>
      </c>
      <c r="CC10" s="159">
        <f>IF(CB10&gt;0.005,CB10*Debts!D27/12,0)</f>
        <v/>
      </c>
      <c r="CD10" s="159" t="n">
        <v>0</v>
      </c>
      <c r="CE10" s="152">
        <f>MAX(0,CB10+CC10-CD10)</f>
        <v/>
      </c>
      <c r="CF10" s="152">
        <f>G10+K10+O10+S10+W10+AA10+AE10+AI10+AM10+AQ10+AU10+AY10+BC10+BG10+BK10+BO10+BS10+BW10+CA10+CE10</f>
        <v/>
      </c>
      <c r="CG10" s="159">
        <f>E10+I10+M10+Q10+U10+Y10+AC10+AG10+AK10+AO10+AS10+AW10+BA10+BE10+BI10+BM10+BQ10+BU10+BY10+CC10</f>
        <v/>
      </c>
      <c r="CH10" s="152">
        <f>CH9+CG10</f>
        <v/>
      </c>
      <c r="CI10" s="148" t="n"/>
      <c r="CJ10" s="148" t="n"/>
    </row>
    <row r="11" ht="15" customHeight="1" s="83">
      <c r="A11" s="148" t="n"/>
      <c r="B11" s="158" t="n">
        <v>7</v>
      </c>
      <c r="C11" s="152">
        <f>F11+J11+N11+R11+V11+Z11+AD11+AH11+AL11+AP11+AT11+AX11+BB11+BF11+BJ11+BN11+BR11+BV11+BZ11+CD11</f>
        <v/>
      </c>
      <c r="D11" s="152">
        <f>G10</f>
        <v/>
      </c>
      <c r="E11" s="159">
        <f>IF(D11&gt;0.005,D11*Debts!D8/12,0)</f>
        <v/>
      </c>
      <c r="F11" s="159" t="n">
        <v>0</v>
      </c>
      <c r="G11" s="152">
        <f>MAX(0,D11+E11-F11)</f>
        <v/>
      </c>
      <c r="H11" s="152">
        <f>K10</f>
        <v/>
      </c>
      <c r="I11" s="159">
        <f>IF(H11&gt;0.005,H11*Debts!D9/12,0)</f>
        <v/>
      </c>
      <c r="J11" s="159" t="n">
        <v>0</v>
      </c>
      <c r="K11" s="152">
        <f>MAX(0,H11+I11-J11)</f>
        <v/>
      </c>
      <c r="L11" s="152">
        <f>O10</f>
        <v/>
      </c>
      <c r="M11" s="159">
        <f>IF(L11&gt;0.005,L11*Debts!D10/12,0)</f>
        <v/>
      </c>
      <c r="N11" s="159" t="n">
        <v>0</v>
      </c>
      <c r="O11" s="152">
        <f>MAX(0,L11+M11-N11)</f>
        <v/>
      </c>
      <c r="P11" s="152">
        <f>S10</f>
        <v/>
      </c>
      <c r="Q11" s="159">
        <f>IF(P11&gt;0.005,P11*Debts!D11/12,0)</f>
        <v/>
      </c>
      <c r="R11" s="159" t="n">
        <v>0</v>
      </c>
      <c r="S11" s="152">
        <f>MAX(0,P11+Q11-R11)</f>
        <v/>
      </c>
      <c r="T11" s="152">
        <f>W10</f>
        <v/>
      </c>
      <c r="U11" s="159">
        <f>IF(T11&gt;0.005,T11*Debts!D12/12,0)</f>
        <v/>
      </c>
      <c r="V11" s="159" t="n">
        <v>0</v>
      </c>
      <c r="W11" s="152">
        <f>MAX(0,T11+U11-V11)</f>
        <v/>
      </c>
      <c r="X11" s="152">
        <f>AA10</f>
        <v/>
      </c>
      <c r="Y11" s="159">
        <f>IF(X11&gt;0.005,X11*Debts!D13/12,0)</f>
        <v/>
      </c>
      <c r="Z11" s="159" t="n">
        <v>0</v>
      </c>
      <c r="AA11" s="152">
        <f>MAX(0,X11+Y11-Z11)</f>
        <v/>
      </c>
      <c r="AB11" s="152">
        <f>AE10</f>
        <v/>
      </c>
      <c r="AC11" s="159">
        <f>IF(AB11&gt;0.005,AB11*Debts!D14/12,0)</f>
        <v/>
      </c>
      <c r="AD11" s="159" t="n">
        <v>0</v>
      </c>
      <c r="AE11" s="152">
        <f>MAX(0,AB11+AC11-AD11)</f>
        <v/>
      </c>
      <c r="AF11" s="152">
        <f>AI10</f>
        <v/>
      </c>
      <c r="AG11" s="159">
        <f>IF(AF11&gt;0.005,AF11*Debts!D15/12,0)</f>
        <v/>
      </c>
      <c r="AH11" s="159" t="n">
        <v>0</v>
      </c>
      <c r="AI11" s="152">
        <f>MAX(0,AF11+AG11-AH11)</f>
        <v/>
      </c>
      <c r="AJ11" s="152">
        <f>AM10</f>
        <v/>
      </c>
      <c r="AK11" s="159">
        <f>IF(AJ11&gt;0.005,AJ11*Debts!D16/12,0)</f>
        <v/>
      </c>
      <c r="AL11" s="159" t="n">
        <v>0</v>
      </c>
      <c r="AM11" s="152">
        <f>MAX(0,AJ11+AK11-AL11)</f>
        <v/>
      </c>
      <c r="AN11" s="152">
        <f>AQ10</f>
        <v/>
      </c>
      <c r="AO11" s="159">
        <f>IF(AN11&gt;0.005,AN11*Debts!D17/12,0)</f>
        <v/>
      </c>
      <c r="AP11" s="159" t="n">
        <v>0</v>
      </c>
      <c r="AQ11" s="152">
        <f>MAX(0,AN11+AO11-AP11)</f>
        <v/>
      </c>
      <c r="AR11" s="152">
        <f>AU10</f>
        <v/>
      </c>
      <c r="AS11" s="159">
        <f>IF(AR11&gt;0.005,AR11*Debts!D18/12,0)</f>
        <v/>
      </c>
      <c r="AT11" s="159" t="n">
        <v>0</v>
      </c>
      <c r="AU11" s="152">
        <f>MAX(0,AR11+AS11-AT11)</f>
        <v/>
      </c>
      <c r="AV11" s="152">
        <f>AY10</f>
        <v/>
      </c>
      <c r="AW11" s="159">
        <f>IF(AV11&gt;0.005,AV11*Debts!D19/12,0)</f>
        <v/>
      </c>
      <c r="AX11" s="159" t="n">
        <v>0</v>
      </c>
      <c r="AY11" s="152">
        <f>MAX(0,AV11+AW11-AX11)</f>
        <v/>
      </c>
      <c r="AZ11" s="152">
        <f>BC10</f>
        <v/>
      </c>
      <c r="BA11" s="159">
        <f>IF(AZ11&gt;0.005,AZ11*Debts!D20/12,0)</f>
        <v/>
      </c>
      <c r="BB11" s="159" t="n">
        <v>0</v>
      </c>
      <c r="BC11" s="152">
        <f>MAX(0,AZ11+BA11-BB11)</f>
        <v/>
      </c>
      <c r="BD11" s="152">
        <f>BG10</f>
        <v/>
      </c>
      <c r="BE11" s="159">
        <f>IF(BD11&gt;0.005,BD11*Debts!D21/12,0)</f>
        <v/>
      </c>
      <c r="BF11" s="159" t="n">
        <v>0</v>
      </c>
      <c r="BG11" s="152">
        <f>MAX(0,BD11+BE11-BF11)</f>
        <v/>
      </c>
      <c r="BH11" s="152">
        <f>BK10</f>
        <v/>
      </c>
      <c r="BI11" s="159">
        <f>IF(BH11&gt;0.005,BH11*Debts!D22/12,0)</f>
        <v/>
      </c>
      <c r="BJ11" s="159" t="n">
        <v>0</v>
      </c>
      <c r="BK11" s="152">
        <f>MAX(0,BH11+BI11-BJ11)</f>
        <v/>
      </c>
      <c r="BL11" s="152">
        <f>BO10</f>
        <v/>
      </c>
      <c r="BM11" s="159">
        <f>IF(BL11&gt;0.005,BL11*Debts!D23/12,0)</f>
        <v/>
      </c>
      <c r="BN11" s="159" t="n">
        <v>0</v>
      </c>
      <c r="BO11" s="152">
        <f>MAX(0,BL11+BM11-BN11)</f>
        <v/>
      </c>
      <c r="BP11" s="152">
        <f>BS10</f>
        <v/>
      </c>
      <c r="BQ11" s="159">
        <f>IF(BP11&gt;0.005,BP11*Debts!D24/12,0)</f>
        <v/>
      </c>
      <c r="BR11" s="159" t="n">
        <v>0</v>
      </c>
      <c r="BS11" s="152">
        <f>MAX(0,BP11+BQ11-BR11)</f>
        <v/>
      </c>
      <c r="BT11" s="152">
        <f>BW10</f>
        <v/>
      </c>
      <c r="BU11" s="159">
        <f>IF(BT11&gt;0.005,BT11*Debts!D25/12,0)</f>
        <v/>
      </c>
      <c r="BV11" s="159" t="n">
        <v>0</v>
      </c>
      <c r="BW11" s="152">
        <f>MAX(0,BT11+BU11-BV11)</f>
        <v/>
      </c>
      <c r="BX11" s="152">
        <f>CA10</f>
        <v/>
      </c>
      <c r="BY11" s="159">
        <f>IF(BX11&gt;0.005,BX11*Debts!D26/12,0)</f>
        <v/>
      </c>
      <c r="BZ11" s="159" t="n">
        <v>0</v>
      </c>
      <c r="CA11" s="152">
        <f>MAX(0,BX11+BY11-BZ11)</f>
        <v/>
      </c>
      <c r="CB11" s="152">
        <f>CE10</f>
        <v/>
      </c>
      <c r="CC11" s="159">
        <f>IF(CB11&gt;0.005,CB11*Debts!D27/12,0)</f>
        <v/>
      </c>
      <c r="CD11" s="159" t="n">
        <v>0</v>
      </c>
      <c r="CE11" s="152">
        <f>MAX(0,CB11+CC11-CD11)</f>
        <v/>
      </c>
      <c r="CF11" s="152">
        <f>G11+K11+O11+S11+W11+AA11+AE11+AI11+AM11+AQ11+AU11+AY11+BC11+BG11+BK11+BO11+BS11+BW11+CA11+CE11</f>
        <v/>
      </c>
      <c r="CG11" s="159">
        <f>E11+I11+M11+Q11+U11+Y11+AC11+AG11+AK11+AO11+AS11+AW11+BA11+BE11+BI11+BM11+BQ11+BU11+BY11+CC11</f>
        <v/>
      </c>
      <c r="CH11" s="152">
        <f>CH10+CG11</f>
        <v/>
      </c>
      <c r="CI11" s="148" t="n"/>
      <c r="CJ11" s="148" t="n"/>
    </row>
    <row r="12" ht="15" customHeight="1" s="83">
      <c r="A12" s="148" t="n"/>
      <c r="B12" s="158" t="n">
        <v>8</v>
      </c>
      <c r="C12" s="152">
        <f>F12+J12+N12+R12+V12+Z12+AD12+AH12+AL12+AP12+AT12+AX12+BB12+BF12+BJ12+BN12+BR12+BV12+BZ12+CD12</f>
        <v/>
      </c>
      <c r="D12" s="152">
        <f>G11</f>
        <v/>
      </c>
      <c r="E12" s="159">
        <f>IF(D12&gt;0.005,D12*Debts!D8/12,0)</f>
        <v/>
      </c>
      <c r="F12" s="159" t="n">
        <v>0</v>
      </c>
      <c r="G12" s="152">
        <f>MAX(0,D12+E12-F12)</f>
        <v/>
      </c>
      <c r="H12" s="152">
        <f>K11</f>
        <v/>
      </c>
      <c r="I12" s="159">
        <f>IF(H12&gt;0.005,H12*Debts!D9/12,0)</f>
        <v/>
      </c>
      <c r="J12" s="159" t="n">
        <v>0</v>
      </c>
      <c r="K12" s="152">
        <f>MAX(0,H12+I12-J12)</f>
        <v/>
      </c>
      <c r="L12" s="152">
        <f>O11</f>
        <v/>
      </c>
      <c r="M12" s="159">
        <f>IF(L12&gt;0.005,L12*Debts!D10/12,0)</f>
        <v/>
      </c>
      <c r="N12" s="159" t="n">
        <v>0</v>
      </c>
      <c r="O12" s="152">
        <f>MAX(0,L12+M12-N12)</f>
        <v/>
      </c>
      <c r="P12" s="152">
        <f>S11</f>
        <v/>
      </c>
      <c r="Q12" s="159">
        <f>IF(P12&gt;0.005,P12*Debts!D11/12,0)</f>
        <v/>
      </c>
      <c r="R12" s="159" t="n">
        <v>0</v>
      </c>
      <c r="S12" s="152">
        <f>MAX(0,P12+Q12-R12)</f>
        <v/>
      </c>
      <c r="T12" s="152">
        <f>W11</f>
        <v/>
      </c>
      <c r="U12" s="159">
        <f>IF(T12&gt;0.005,T12*Debts!D12/12,0)</f>
        <v/>
      </c>
      <c r="V12" s="159" t="n">
        <v>0</v>
      </c>
      <c r="W12" s="152">
        <f>MAX(0,T12+U12-V12)</f>
        <v/>
      </c>
      <c r="X12" s="152">
        <f>AA11</f>
        <v/>
      </c>
      <c r="Y12" s="159">
        <f>IF(X12&gt;0.005,X12*Debts!D13/12,0)</f>
        <v/>
      </c>
      <c r="Z12" s="159" t="n">
        <v>0</v>
      </c>
      <c r="AA12" s="152">
        <f>MAX(0,X12+Y12-Z12)</f>
        <v/>
      </c>
      <c r="AB12" s="152">
        <f>AE11</f>
        <v/>
      </c>
      <c r="AC12" s="159">
        <f>IF(AB12&gt;0.005,AB12*Debts!D14/12,0)</f>
        <v/>
      </c>
      <c r="AD12" s="159" t="n">
        <v>0</v>
      </c>
      <c r="AE12" s="152">
        <f>MAX(0,AB12+AC12-AD12)</f>
        <v/>
      </c>
      <c r="AF12" s="152">
        <f>AI11</f>
        <v/>
      </c>
      <c r="AG12" s="159">
        <f>IF(AF12&gt;0.005,AF12*Debts!D15/12,0)</f>
        <v/>
      </c>
      <c r="AH12" s="159" t="n">
        <v>0</v>
      </c>
      <c r="AI12" s="152">
        <f>MAX(0,AF12+AG12-AH12)</f>
        <v/>
      </c>
      <c r="AJ12" s="152">
        <f>AM11</f>
        <v/>
      </c>
      <c r="AK12" s="159">
        <f>IF(AJ12&gt;0.005,AJ12*Debts!D16/12,0)</f>
        <v/>
      </c>
      <c r="AL12" s="159" t="n">
        <v>0</v>
      </c>
      <c r="AM12" s="152">
        <f>MAX(0,AJ12+AK12-AL12)</f>
        <v/>
      </c>
      <c r="AN12" s="152">
        <f>AQ11</f>
        <v/>
      </c>
      <c r="AO12" s="159">
        <f>IF(AN12&gt;0.005,AN12*Debts!D17/12,0)</f>
        <v/>
      </c>
      <c r="AP12" s="159" t="n">
        <v>0</v>
      </c>
      <c r="AQ12" s="152">
        <f>MAX(0,AN12+AO12-AP12)</f>
        <v/>
      </c>
      <c r="AR12" s="152">
        <f>AU11</f>
        <v/>
      </c>
      <c r="AS12" s="159">
        <f>IF(AR12&gt;0.005,AR12*Debts!D18/12,0)</f>
        <v/>
      </c>
      <c r="AT12" s="159" t="n">
        <v>0</v>
      </c>
      <c r="AU12" s="152">
        <f>MAX(0,AR12+AS12-AT12)</f>
        <v/>
      </c>
      <c r="AV12" s="152">
        <f>AY11</f>
        <v/>
      </c>
      <c r="AW12" s="159">
        <f>IF(AV12&gt;0.005,AV12*Debts!D19/12,0)</f>
        <v/>
      </c>
      <c r="AX12" s="159" t="n">
        <v>0</v>
      </c>
      <c r="AY12" s="152">
        <f>MAX(0,AV12+AW12-AX12)</f>
        <v/>
      </c>
      <c r="AZ12" s="152">
        <f>BC11</f>
        <v/>
      </c>
      <c r="BA12" s="159">
        <f>IF(AZ12&gt;0.005,AZ12*Debts!D20/12,0)</f>
        <v/>
      </c>
      <c r="BB12" s="159" t="n">
        <v>0</v>
      </c>
      <c r="BC12" s="152">
        <f>MAX(0,AZ12+BA12-BB12)</f>
        <v/>
      </c>
      <c r="BD12" s="152">
        <f>BG11</f>
        <v/>
      </c>
      <c r="BE12" s="159">
        <f>IF(BD12&gt;0.005,BD12*Debts!D21/12,0)</f>
        <v/>
      </c>
      <c r="BF12" s="159" t="n">
        <v>0</v>
      </c>
      <c r="BG12" s="152">
        <f>MAX(0,BD12+BE12-BF12)</f>
        <v/>
      </c>
      <c r="BH12" s="152">
        <f>BK11</f>
        <v/>
      </c>
      <c r="BI12" s="159">
        <f>IF(BH12&gt;0.005,BH12*Debts!D22/12,0)</f>
        <v/>
      </c>
      <c r="BJ12" s="159" t="n">
        <v>0</v>
      </c>
      <c r="BK12" s="152">
        <f>MAX(0,BH12+BI12-BJ12)</f>
        <v/>
      </c>
      <c r="BL12" s="152">
        <f>BO11</f>
        <v/>
      </c>
      <c r="BM12" s="159">
        <f>IF(BL12&gt;0.005,BL12*Debts!D23/12,0)</f>
        <v/>
      </c>
      <c r="BN12" s="159" t="n">
        <v>0</v>
      </c>
      <c r="BO12" s="152">
        <f>MAX(0,BL12+BM12-BN12)</f>
        <v/>
      </c>
      <c r="BP12" s="152">
        <f>BS11</f>
        <v/>
      </c>
      <c r="BQ12" s="159">
        <f>IF(BP12&gt;0.005,BP12*Debts!D24/12,0)</f>
        <v/>
      </c>
      <c r="BR12" s="159" t="n">
        <v>0</v>
      </c>
      <c r="BS12" s="152">
        <f>MAX(0,BP12+BQ12-BR12)</f>
        <v/>
      </c>
      <c r="BT12" s="152">
        <f>BW11</f>
        <v/>
      </c>
      <c r="BU12" s="159">
        <f>IF(BT12&gt;0.005,BT12*Debts!D25/12,0)</f>
        <v/>
      </c>
      <c r="BV12" s="159" t="n">
        <v>0</v>
      </c>
      <c r="BW12" s="152">
        <f>MAX(0,BT12+BU12-BV12)</f>
        <v/>
      </c>
      <c r="BX12" s="152">
        <f>CA11</f>
        <v/>
      </c>
      <c r="BY12" s="159">
        <f>IF(BX12&gt;0.005,BX12*Debts!D26/12,0)</f>
        <v/>
      </c>
      <c r="BZ12" s="159" t="n">
        <v>0</v>
      </c>
      <c r="CA12" s="152">
        <f>MAX(0,BX12+BY12-BZ12)</f>
        <v/>
      </c>
      <c r="CB12" s="152">
        <f>CE11</f>
        <v/>
      </c>
      <c r="CC12" s="159">
        <f>IF(CB12&gt;0.005,CB12*Debts!D27/12,0)</f>
        <v/>
      </c>
      <c r="CD12" s="159" t="n">
        <v>0</v>
      </c>
      <c r="CE12" s="152">
        <f>MAX(0,CB12+CC12-CD12)</f>
        <v/>
      </c>
      <c r="CF12" s="152">
        <f>G12+K12+O12+S12+W12+AA12+AE12+AI12+AM12+AQ12+AU12+AY12+BC12+BG12+BK12+BO12+BS12+BW12+CA12+CE12</f>
        <v/>
      </c>
      <c r="CG12" s="159">
        <f>E12+I12+M12+Q12+U12+Y12+AC12+AG12+AK12+AO12+AS12+AW12+BA12+BE12+BI12+BM12+BQ12+BU12+BY12+CC12</f>
        <v/>
      </c>
      <c r="CH12" s="152">
        <f>CH11+CG12</f>
        <v/>
      </c>
      <c r="CI12" s="148" t="n"/>
      <c r="CJ12" s="148" t="n"/>
    </row>
    <row r="13" ht="15" customHeight="1" s="83">
      <c r="A13" s="148" t="n"/>
      <c r="B13" s="158" t="n">
        <v>9</v>
      </c>
      <c r="C13" s="152">
        <f>F13+J13+N13+R13+V13+Z13+AD13+AH13+AL13+AP13+AT13+AX13+BB13+BF13+BJ13+BN13+BR13+BV13+BZ13+CD13</f>
        <v/>
      </c>
      <c r="D13" s="152">
        <f>G12</f>
        <v/>
      </c>
      <c r="E13" s="159">
        <f>IF(D13&gt;0.005,D13*Debts!D8/12,0)</f>
        <v/>
      </c>
      <c r="F13" s="159" t="n">
        <v>0</v>
      </c>
      <c r="G13" s="152">
        <f>MAX(0,D13+E13-F13)</f>
        <v/>
      </c>
      <c r="H13" s="152">
        <f>K12</f>
        <v/>
      </c>
      <c r="I13" s="159">
        <f>IF(H13&gt;0.005,H13*Debts!D9/12,0)</f>
        <v/>
      </c>
      <c r="J13" s="159" t="n">
        <v>0</v>
      </c>
      <c r="K13" s="152">
        <f>MAX(0,H13+I13-J13)</f>
        <v/>
      </c>
      <c r="L13" s="152">
        <f>O12</f>
        <v/>
      </c>
      <c r="M13" s="159">
        <f>IF(L13&gt;0.005,L13*Debts!D10/12,0)</f>
        <v/>
      </c>
      <c r="N13" s="159" t="n">
        <v>0</v>
      </c>
      <c r="O13" s="152">
        <f>MAX(0,L13+M13-N13)</f>
        <v/>
      </c>
      <c r="P13" s="152">
        <f>S12</f>
        <v/>
      </c>
      <c r="Q13" s="159">
        <f>IF(P13&gt;0.005,P13*Debts!D11/12,0)</f>
        <v/>
      </c>
      <c r="R13" s="159" t="n">
        <v>0</v>
      </c>
      <c r="S13" s="152">
        <f>MAX(0,P13+Q13-R13)</f>
        <v/>
      </c>
      <c r="T13" s="152">
        <f>W12</f>
        <v/>
      </c>
      <c r="U13" s="159">
        <f>IF(T13&gt;0.005,T13*Debts!D12/12,0)</f>
        <v/>
      </c>
      <c r="V13" s="159" t="n">
        <v>0</v>
      </c>
      <c r="W13" s="152">
        <f>MAX(0,T13+U13-V13)</f>
        <v/>
      </c>
      <c r="X13" s="152">
        <f>AA12</f>
        <v/>
      </c>
      <c r="Y13" s="159">
        <f>IF(X13&gt;0.005,X13*Debts!D13/12,0)</f>
        <v/>
      </c>
      <c r="Z13" s="159" t="n">
        <v>0</v>
      </c>
      <c r="AA13" s="152">
        <f>MAX(0,X13+Y13-Z13)</f>
        <v/>
      </c>
      <c r="AB13" s="152">
        <f>AE12</f>
        <v/>
      </c>
      <c r="AC13" s="159">
        <f>IF(AB13&gt;0.005,AB13*Debts!D14/12,0)</f>
        <v/>
      </c>
      <c r="AD13" s="159" t="n">
        <v>0</v>
      </c>
      <c r="AE13" s="152">
        <f>MAX(0,AB13+AC13-AD13)</f>
        <v/>
      </c>
      <c r="AF13" s="152">
        <f>AI12</f>
        <v/>
      </c>
      <c r="AG13" s="159">
        <f>IF(AF13&gt;0.005,AF13*Debts!D15/12,0)</f>
        <v/>
      </c>
      <c r="AH13" s="159" t="n">
        <v>0</v>
      </c>
      <c r="AI13" s="152">
        <f>MAX(0,AF13+AG13-AH13)</f>
        <v/>
      </c>
      <c r="AJ13" s="152">
        <f>AM12</f>
        <v/>
      </c>
      <c r="AK13" s="159">
        <f>IF(AJ13&gt;0.005,AJ13*Debts!D16/12,0)</f>
        <v/>
      </c>
      <c r="AL13" s="159" t="n">
        <v>0</v>
      </c>
      <c r="AM13" s="152">
        <f>MAX(0,AJ13+AK13-AL13)</f>
        <v/>
      </c>
      <c r="AN13" s="152">
        <f>AQ12</f>
        <v/>
      </c>
      <c r="AO13" s="159">
        <f>IF(AN13&gt;0.005,AN13*Debts!D17/12,0)</f>
        <v/>
      </c>
      <c r="AP13" s="159" t="n">
        <v>0</v>
      </c>
      <c r="AQ13" s="152">
        <f>MAX(0,AN13+AO13-AP13)</f>
        <v/>
      </c>
      <c r="AR13" s="152">
        <f>AU12</f>
        <v/>
      </c>
      <c r="AS13" s="159">
        <f>IF(AR13&gt;0.005,AR13*Debts!D18/12,0)</f>
        <v/>
      </c>
      <c r="AT13" s="159" t="n">
        <v>0</v>
      </c>
      <c r="AU13" s="152">
        <f>MAX(0,AR13+AS13-AT13)</f>
        <v/>
      </c>
      <c r="AV13" s="152">
        <f>AY12</f>
        <v/>
      </c>
      <c r="AW13" s="159">
        <f>IF(AV13&gt;0.005,AV13*Debts!D19/12,0)</f>
        <v/>
      </c>
      <c r="AX13" s="159" t="n">
        <v>0</v>
      </c>
      <c r="AY13" s="152">
        <f>MAX(0,AV13+AW13-AX13)</f>
        <v/>
      </c>
      <c r="AZ13" s="152">
        <f>BC12</f>
        <v/>
      </c>
      <c r="BA13" s="159">
        <f>IF(AZ13&gt;0.005,AZ13*Debts!D20/12,0)</f>
        <v/>
      </c>
      <c r="BB13" s="159" t="n">
        <v>0</v>
      </c>
      <c r="BC13" s="152">
        <f>MAX(0,AZ13+BA13-BB13)</f>
        <v/>
      </c>
      <c r="BD13" s="152">
        <f>BG12</f>
        <v/>
      </c>
      <c r="BE13" s="159">
        <f>IF(BD13&gt;0.005,BD13*Debts!D21/12,0)</f>
        <v/>
      </c>
      <c r="BF13" s="159" t="n">
        <v>0</v>
      </c>
      <c r="BG13" s="152">
        <f>MAX(0,BD13+BE13-BF13)</f>
        <v/>
      </c>
      <c r="BH13" s="152">
        <f>BK12</f>
        <v/>
      </c>
      <c r="BI13" s="159">
        <f>IF(BH13&gt;0.005,BH13*Debts!D22/12,0)</f>
        <v/>
      </c>
      <c r="BJ13" s="159" t="n">
        <v>0</v>
      </c>
      <c r="BK13" s="152">
        <f>MAX(0,BH13+BI13-BJ13)</f>
        <v/>
      </c>
      <c r="BL13" s="152">
        <f>BO12</f>
        <v/>
      </c>
      <c r="BM13" s="159">
        <f>IF(BL13&gt;0.005,BL13*Debts!D23/12,0)</f>
        <v/>
      </c>
      <c r="BN13" s="159" t="n">
        <v>0</v>
      </c>
      <c r="BO13" s="152">
        <f>MAX(0,BL13+BM13-BN13)</f>
        <v/>
      </c>
      <c r="BP13" s="152">
        <f>BS12</f>
        <v/>
      </c>
      <c r="BQ13" s="159">
        <f>IF(BP13&gt;0.005,BP13*Debts!D24/12,0)</f>
        <v/>
      </c>
      <c r="BR13" s="159" t="n">
        <v>0</v>
      </c>
      <c r="BS13" s="152">
        <f>MAX(0,BP13+BQ13-BR13)</f>
        <v/>
      </c>
      <c r="BT13" s="152">
        <f>BW12</f>
        <v/>
      </c>
      <c r="BU13" s="159">
        <f>IF(BT13&gt;0.005,BT13*Debts!D25/12,0)</f>
        <v/>
      </c>
      <c r="BV13" s="159" t="n">
        <v>0</v>
      </c>
      <c r="BW13" s="152">
        <f>MAX(0,BT13+BU13-BV13)</f>
        <v/>
      </c>
      <c r="BX13" s="152">
        <f>CA12</f>
        <v/>
      </c>
      <c r="BY13" s="159">
        <f>IF(BX13&gt;0.005,BX13*Debts!D26/12,0)</f>
        <v/>
      </c>
      <c r="BZ13" s="159" t="n">
        <v>0</v>
      </c>
      <c r="CA13" s="152">
        <f>MAX(0,BX13+BY13-BZ13)</f>
        <v/>
      </c>
      <c r="CB13" s="152">
        <f>CE12</f>
        <v/>
      </c>
      <c r="CC13" s="159">
        <f>IF(CB13&gt;0.005,CB13*Debts!D27/12,0)</f>
        <v/>
      </c>
      <c r="CD13" s="159" t="n">
        <v>0</v>
      </c>
      <c r="CE13" s="152">
        <f>MAX(0,CB13+CC13-CD13)</f>
        <v/>
      </c>
      <c r="CF13" s="152">
        <f>G13+K13+O13+S13+W13+AA13+AE13+AI13+AM13+AQ13+AU13+AY13+BC13+BG13+BK13+BO13+BS13+BW13+CA13+CE13</f>
        <v/>
      </c>
      <c r="CG13" s="159">
        <f>E13+I13+M13+Q13+U13+Y13+AC13+AG13+AK13+AO13+AS13+AW13+BA13+BE13+BI13+BM13+BQ13+BU13+BY13+CC13</f>
        <v/>
      </c>
      <c r="CH13" s="152">
        <f>CH12+CG13</f>
        <v/>
      </c>
      <c r="CI13" s="148" t="n"/>
      <c r="CJ13" s="148" t="n"/>
    </row>
    <row r="14" ht="15" customHeight="1" s="83">
      <c r="A14" s="148" t="n"/>
      <c r="B14" s="158" t="n">
        <v>10</v>
      </c>
      <c r="C14" s="152">
        <f>F14+J14+N14+R14+V14+Z14+AD14+AH14+AL14+AP14+AT14+AX14+BB14+BF14+BJ14+BN14+BR14+BV14+BZ14+CD14</f>
        <v/>
      </c>
      <c r="D14" s="152">
        <f>G13</f>
        <v/>
      </c>
      <c r="E14" s="159">
        <f>IF(D14&gt;0.005,D14*Debts!D8/12,0)</f>
        <v/>
      </c>
      <c r="F14" s="159" t="n">
        <v>0</v>
      </c>
      <c r="G14" s="152">
        <f>MAX(0,D14+E14-F14)</f>
        <v/>
      </c>
      <c r="H14" s="152">
        <f>K13</f>
        <v/>
      </c>
      <c r="I14" s="159">
        <f>IF(H14&gt;0.005,H14*Debts!D9/12,0)</f>
        <v/>
      </c>
      <c r="J14" s="159" t="n">
        <v>0</v>
      </c>
      <c r="K14" s="152">
        <f>MAX(0,H14+I14-J14)</f>
        <v/>
      </c>
      <c r="L14" s="152">
        <f>O13</f>
        <v/>
      </c>
      <c r="M14" s="159">
        <f>IF(L14&gt;0.005,L14*Debts!D10/12,0)</f>
        <v/>
      </c>
      <c r="N14" s="159" t="n">
        <v>0</v>
      </c>
      <c r="O14" s="152">
        <f>MAX(0,L14+M14-N14)</f>
        <v/>
      </c>
      <c r="P14" s="152">
        <f>S13</f>
        <v/>
      </c>
      <c r="Q14" s="159">
        <f>IF(P14&gt;0.005,P14*Debts!D11/12,0)</f>
        <v/>
      </c>
      <c r="R14" s="159" t="n">
        <v>0</v>
      </c>
      <c r="S14" s="152">
        <f>MAX(0,P14+Q14-R14)</f>
        <v/>
      </c>
      <c r="T14" s="152">
        <f>W13</f>
        <v/>
      </c>
      <c r="U14" s="159">
        <f>IF(T14&gt;0.005,T14*Debts!D12/12,0)</f>
        <v/>
      </c>
      <c r="V14" s="159" t="n">
        <v>0</v>
      </c>
      <c r="W14" s="152">
        <f>MAX(0,T14+U14-V14)</f>
        <v/>
      </c>
      <c r="X14" s="152">
        <f>AA13</f>
        <v/>
      </c>
      <c r="Y14" s="159">
        <f>IF(X14&gt;0.005,X14*Debts!D13/12,0)</f>
        <v/>
      </c>
      <c r="Z14" s="159" t="n">
        <v>0</v>
      </c>
      <c r="AA14" s="152">
        <f>MAX(0,X14+Y14-Z14)</f>
        <v/>
      </c>
      <c r="AB14" s="152">
        <f>AE13</f>
        <v/>
      </c>
      <c r="AC14" s="159">
        <f>IF(AB14&gt;0.005,AB14*Debts!D14/12,0)</f>
        <v/>
      </c>
      <c r="AD14" s="159" t="n">
        <v>0</v>
      </c>
      <c r="AE14" s="152">
        <f>MAX(0,AB14+AC14-AD14)</f>
        <v/>
      </c>
      <c r="AF14" s="152">
        <f>AI13</f>
        <v/>
      </c>
      <c r="AG14" s="159">
        <f>IF(AF14&gt;0.005,AF14*Debts!D15/12,0)</f>
        <v/>
      </c>
      <c r="AH14" s="159" t="n">
        <v>0</v>
      </c>
      <c r="AI14" s="152">
        <f>MAX(0,AF14+AG14-AH14)</f>
        <v/>
      </c>
      <c r="AJ14" s="152">
        <f>AM13</f>
        <v/>
      </c>
      <c r="AK14" s="159">
        <f>IF(AJ14&gt;0.005,AJ14*Debts!D16/12,0)</f>
        <v/>
      </c>
      <c r="AL14" s="159" t="n">
        <v>0</v>
      </c>
      <c r="AM14" s="152">
        <f>MAX(0,AJ14+AK14-AL14)</f>
        <v/>
      </c>
      <c r="AN14" s="152">
        <f>AQ13</f>
        <v/>
      </c>
      <c r="AO14" s="159">
        <f>IF(AN14&gt;0.005,AN14*Debts!D17/12,0)</f>
        <v/>
      </c>
      <c r="AP14" s="159" t="n">
        <v>0</v>
      </c>
      <c r="AQ14" s="152">
        <f>MAX(0,AN14+AO14-AP14)</f>
        <v/>
      </c>
      <c r="AR14" s="152">
        <f>AU13</f>
        <v/>
      </c>
      <c r="AS14" s="159">
        <f>IF(AR14&gt;0.005,AR14*Debts!D18/12,0)</f>
        <v/>
      </c>
      <c r="AT14" s="159" t="n">
        <v>0</v>
      </c>
      <c r="AU14" s="152">
        <f>MAX(0,AR14+AS14-AT14)</f>
        <v/>
      </c>
      <c r="AV14" s="152">
        <f>AY13</f>
        <v/>
      </c>
      <c r="AW14" s="159">
        <f>IF(AV14&gt;0.005,AV14*Debts!D19/12,0)</f>
        <v/>
      </c>
      <c r="AX14" s="159" t="n">
        <v>0</v>
      </c>
      <c r="AY14" s="152">
        <f>MAX(0,AV14+AW14-AX14)</f>
        <v/>
      </c>
      <c r="AZ14" s="152">
        <f>BC13</f>
        <v/>
      </c>
      <c r="BA14" s="159">
        <f>IF(AZ14&gt;0.005,AZ14*Debts!D20/12,0)</f>
        <v/>
      </c>
      <c r="BB14" s="159" t="n">
        <v>0</v>
      </c>
      <c r="BC14" s="152">
        <f>MAX(0,AZ14+BA14-BB14)</f>
        <v/>
      </c>
      <c r="BD14" s="152">
        <f>BG13</f>
        <v/>
      </c>
      <c r="BE14" s="159">
        <f>IF(BD14&gt;0.005,BD14*Debts!D21/12,0)</f>
        <v/>
      </c>
      <c r="BF14" s="159" t="n">
        <v>0</v>
      </c>
      <c r="BG14" s="152">
        <f>MAX(0,BD14+BE14-BF14)</f>
        <v/>
      </c>
      <c r="BH14" s="152">
        <f>BK13</f>
        <v/>
      </c>
      <c r="BI14" s="159">
        <f>IF(BH14&gt;0.005,BH14*Debts!D22/12,0)</f>
        <v/>
      </c>
      <c r="BJ14" s="159" t="n">
        <v>0</v>
      </c>
      <c r="BK14" s="152">
        <f>MAX(0,BH14+BI14-BJ14)</f>
        <v/>
      </c>
      <c r="BL14" s="152">
        <f>BO13</f>
        <v/>
      </c>
      <c r="BM14" s="159">
        <f>IF(BL14&gt;0.005,BL14*Debts!D23/12,0)</f>
        <v/>
      </c>
      <c r="BN14" s="159" t="n">
        <v>0</v>
      </c>
      <c r="BO14" s="152">
        <f>MAX(0,BL14+BM14-BN14)</f>
        <v/>
      </c>
      <c r="BP14" s="152">
        <f>BS13</f>
        <v/>
      </c>
      <c r="BQ14" s="159">
        <f>IF(BP14&gt;0.005,BP14*Debts!D24/12,0)</f>
        <v/>
      </c>
      <c r="BR14" s="159" t="n">
        <v>0</v>
      </c>
      <c r="BS14" s="152">
        <f>MAX(0,BP14+BQ14-BR14)</f>
        <v/>
      </c>
      <c r="BT14" s="152">
        <f>BW13</f>
        <v/>
      </c>
      <c r="BU14" s="159">
        <f>IF(BT14&gt;0.005,BT14*Debts!D25/12,0)</f>
        <v/>
      </c>
      <c r="BV14" s="159" t="n">
        <v>0</v>
      </c>
      <c r="BW14" s="152">
        <f>MAX(0,BT14+BU14-BV14)</f>
        <v/>
      </c>
      <c r="BX14" s="152">
        <f>CA13</f>
        <v/>
      </c>
      <c r="BY14" s="159">
        <f>IF(BX14&gt;0.005,BX14*Debts!D26/12,0)</f>
        <v/>
      </c>
      <c r="BZ14" s="159" t="n">
        <v>0</v>
      </c>
      <c r="CA14" s="152">
        <f>MAX(0,BX14+BY14-BZ14)</f>
        <v/>
      </c>
      <c r="CB14" s="152">
        <f>CE13</f>
        <v/>
      </c>
      <c r="CC14" s="159">
        <f>IF(CB14&gt;0.005,CB14*Debts!D27/12,0)</f>
        <v/>
      </c>
      <c r="CD14" s="159" t="n">
        <v>0</v>
      </c>
      <c r="CE14" s="152">
        <f>MAX(0,CB14+CC14-CD14)</f>
        <v/>
      </c>
      <c r="CF14" s="152">
        <f>G14+K14+O14+S14+W14+AA14+AE14+AI14+AM14+AQ14+AU14+AY14+BC14+BG14+BK14+BO14+BS14+BW14+CA14+CE14</f>
        <v/>
      </c>
      <c r="CG14" s="159">
        <f>E14+I14+M14+Q14+U14+Y14+AC14+AG14+AK14+AO14+AS14+AW14+BA14+BE14+BI14+BM14+BQ14+BU14+BY14+CC14</f>
        <v/>
      </c>
      <c r="CH14" s="152">
        <f>CH13+CG14</f>
        <v/>
      </c>
      <c r="CI14" s="148" t="n"/>
      <c r="CJ14" s="148" t="n"/>
    </row>
    <row r="15" ht="15" customHeight="1" s="83">
      <c r="A15" s="148" t="n"/>
      <c r="B15" s="158" t="n">
        <v>11</v>
      </c>
      <c r="C15" s="152">
        <f>F15+J15+N15+R15+V15+Z15+AD15+AH15+AL15+AP15+AT15+AX15+BB15+BF15+BJ15+BN15+BR15+BV15+BZ15+CD15</f>
        <v/>
      </c>
      <c r="D15" s="152">
        <f>G14</f>
        <v/>
      </c>
      <c r="E15" s="159">
        <f>IF(D15&gt;0.005,D15*Debts!D8/12,0)</f>
        <v/>
      </c>
      <c r="F15" s="159" t="n">
        <v>0</v>
      </c>
      <c r="G15" s="152">
        <f>MAX(0,D15+E15-F15)</f>
        <v/>
      </c>
      <c r="H15" s="152">
        <f>K14</f>
        <v/>
      </c>
      <c r="I15" s="159">
        <f>IF(H15&gt;0.005,H15*Debts!D9/12,0)</f>
        <v/>
      </c>
      <c r="J15" s="159" t="n">
        <v>0</v>
      </c>
      <c r="K15" s="152">
        <f>MAX(0,H15+I15-J15)</f>
        <v/>
      </c>
      <c r="L15" s="152">
        <f>O14</f>
        <v/>
      </c>
      <c r="M15" s="159">
        <f>IF(L15&gt;0.005,L15*Debts!D10/12,0)</f>
        <v/>
      </c>
      <c r="N15" s="159" t="n">
        <v>0</v>
      </c>
      <c r="O15" s="152">
        <f>MAX(0,L15+M15-N15)</f>
        <v/>
      </c>
      <c r="P15" s="152">
        <f>S14</f>
        <v/>
      </c>
      <c r="Q15" s="159">
        <f>IF(P15&gt;0.005,P15*Debts!D11/12,0)</f>
        <v/>
      </c>
      <c r="R15" s="159" t="n">
        <v>0</v>
      </c>
      <c r="S15" s="152">
        <f>MAX(0,P15+Q15-R15)</f>
        <v/>
      </c>
      <c r="T15" s="152">
        <f>W14</f>
        <v/>
      </c>
      <c r="U15" s="159">
        <f>IF(T15&gt;0.005,T15*Debts!D12/12,0)</f>
        <v/>
      </c>
      <c r="V15" s="159" t="n">
        <v>0</v>
      </c>
      <c r="W15" s="152">
        <f>MAX(0,T15+U15-V15)</f>
        <v/>
      </c>
      <c r="X15" s="152">
        <f>AA14</f>
        <v/>
      </c>
      <c r="Y15" s="159">
        <f>IF(X15&gt;0.005,X15*Debts!D13/12,0)</f>
        <v/>
      </c>
      <c r="Z15" s="159" t="n">
        <v>0</v>
      </c>
      <c r="AA15" s="152">
        <f>MAX(0,X15+Y15-Z15)</f>
        <v/>
      </c>
      <c r="AB15" s="152">
        <f>AE14</f>
        <v/>
      </c>
      <c r="AC15" s="159">
        <f>IF(AB15&gt;0.005,AB15*Debts!D14/12,0)</f>
        <v/>
      </c>
      <c r="AD15" s="159" t="n">
        <v>0</v>
      </c>
      <c r="AE15" s="152">
        <f>MAX(0,AB15+AC15-AD15)</f>
        <v/>
      </c>
      <c r="AF15" s="152">
        <f>AI14</f>
        <v/>
      </c>
      <c r="AG15" s="159">
        <f>IF(AF15&gt;0.005,AF15*Debts!D15/12,0)</f>
        <v/>
      </c>
      <c r="AH15" s="159" t="n">
        <v>0</v>
      </c>
      <c r="AI15" s="152">
        <f>MAX(0,AF15+AG15-AH15)</f>
        <v/>
      </c>
      <c r="AJ15" s="152">
        <f>AM14</f>
        <v/>
      </c>
      <c r="AK15" s="159">
        <f>IF(AJ15&gt;0.005,AJ15*Debts!D16/12,0)</f>
        <v/>
      </c>
      <c r="AL15" s="159" t="n">
        <v>0</v>
      </c>
      <c r="AM15" s="152">
        <f>MAX(0,AJ15+AK15-AL15)</f>
        <v/>
      </c>
      <c r="AN15" s="152">
        <f>AQ14</f>
        <v/>
      </c>
      <c r="AO15" s="159">
        <f>IF(AN15&gt;0.005,AN15*Debts!D17/12,0)</f>
        <v/>
      </c>
      <c r="AP15" s="159" t="n">
        <v>0</v>
      </c>
      <c r="AQ15" s="152">
        <f>MAX(0,AN15+AO15-AP15)</f>
        <v/>
      </c>
      <c r="AR15" s="152">
        <f>AU14</f>
        <v/>
      </c>
      <c r="AS15" s="159">
        <f>IF(AR15&gt;0.005,AR15*Debts!D18/12,0)</f>
        <v/>
      </c>
      <c r="AT15" s="159" t="n">
        <v>0</v>
      </c>
      <c r="AU15" s="152">
        <f>MAX(0,AR15+AS15-AT15)</f>
        <v/>
      </c>
      <c r="AV15" s="152">
        <f>AY14</f>
        <v/>
      </c>
      <c r="AW15" s="159">
        <f>IF(AV15&gt;0.005,AV15*Debts!D19/12,0)</f>
        <v/>
      </c>
      <c r="AX15" s="159" t="n">
        <v>0</v>
      </c>
      <c r="AY15" s="152">
        <f>MAX(0,AV15+AW15-AX15)</f>
        <v/>
      </c>
      <c r="AZ15" s="152">
        <f>BC14</f>
        <v/>
      </c>
      <c r="BA15" s="159">
        <f>IF(AZ15&gt;0.005,AZ15*Debts!D20/12,0)</f>
        <v/>
      </c>
      <c r="BB15" s="159" t="n">
        <v>0</v>
      </c>
      <c r="BC15" s="152">
        <f>MAX(0,AZ15+BA15-BB15)</f>
        <v/>
      </c>
      <c r="BD15" s="152">
        <f>BG14</f>
        <v/>
      </c>
      <c r="BE15" s="159">
        <f>IF(BD15&gt;0.005,BD15*Debts!D21/12,0)</f>
        <v/>
      </c>
      <c r="BF15" s="159" t="n">
        <v>0</v>
      </c>
      <c r="BG15" s="152">
        <f>MAX(0,BD15+BE15-BF15)</f>
        <v/>
      </c>
      <c r="BH15" s="152">
        <f>BK14</f>
        <v/>
      </c>
      <c r="BI15" s="159">
        <f>IF(BH15&gt;0.005,BH15*Debts!D22/12,0)</f>
        <v/>
      </c>
      <c r="BJ15" s="159" t="n">
        <v>0</v>
      </c>
      <c r="BK15" s="152">
        <f>MAX(0,BH15+BI15-BJ15)</f>
        <v/>
      </c>
      <c r="BL15" s="152">
        <f>BO14</f>
        <v/>
      </c>
      <c r="BM15" s="159">
        <f>IF(BL15&gt;0.005,BL15*Debts!D23/12,0)</f>
        <v/>
      </c>
      <c r="BN15" s="159" t="n">
        <v>0</v>
      </c>
      <c r="BO15" s="152">
        <f>MAX(0,BL15+BM15-BN15)</f>
        <v/>
      </c>
      <c r="BP15" s="152">
        <f>BS14</f>
        <v/>
      </c>
      <c r="BQ15" s="159">
        <f>IF(BP15&gt;0.005,BP15*Debts!D24/12,0)</f>
        <v/>
      </c>
      <c r="BR15" s="159" t="n">
        <v>0</v>
      </c>
      <c r="BS15" s="152">
        <f>MAX(0,BP15+BQ15-BR15)</f>
        <v/>
      </c>
      <c r="BT15" s="152">
        <f>BW14</f>
        <v/>
      </c>
      <c r="BU15" s="159">
        <f>IF(BT15&gt;0.005,BT15*Debts!D25/12,0)</f>
        <v/>
      </c>
      <c r="BV15" s="159" t="n">
        <v>0</v>
      </c>
      <c r="BW15" s="152">
        <f>MAX(0,BT15+BU15-BV15)</f>
        <v/>
      </c>
      <c r="BX15" s="152">
        <f>CA14</f>
        <v/>
      </c>
      <c r="BY15" s="159">
        <f>IF(BX15&gt;0.005,BX15*Debts!D26/12,0)</f>
        <v/>
      </c>
      <c r="BZ15" s="159" t="n">
        <v>0</v>
      </c>
      <c r="CA15" s="152">
        <f>MAX(0,BX15+BY15-BZ15)</f>
        <v/>
      </c>
      <c r="CB15" s="152">
        <f>CE14</f>
        <v/>
      </c>
      <c r="CC15" s="159">
        <f>IF(CB15&gt;0.005,CB15*Debts!D27/12,0)</f>
        <v/>
      </c>
      <c r="CD15" s="159" t="n">
        <v>0</v>
      </c>
      <c r="CE15" s="152">
        <f>MAX(0,CB15+CC15-CD15)</f>
        <v/>
      </c>
      <c r="CF15" s="152">
        <f>G15+K15+O15+S15+W15+AA15+AE15+AI15+AM15+AQ15+AU15+AY15+BC15+BG15+BK15+BO15+BS15+BW15+CA15+CE15</f>
        <v/>
      </c>
      <c r="CG15" s="159">
        <f>E15+I15+M15+Q15+U15+Y15+AC15+AG15+AK15+AO15+AS15+AW15+BA15+BE15+BI15+BM15+BQ15+BU15+BY15+CC15</f>
        <v/>
      </c>
      <c r="CH15" s="152">
        <f>CH14+CG15</f>
        <v/>
      </c>
      <c r="CI15" s="148" t="n"/>
      <c r="CJ15" s="148" t="n"/>
    </row>
    <row r="16" ht="15" customHeight="1" s="83">
      <c r="A16" s="148" t="n"/>
      <c r="B16" s="158" t="n">
        <v>12</v>
      </c>
      <c r="C16" s="152">
        <f>F16+J16+N16+R16+V16+Z16+AD16+AH16+AL16+AP16+AT16+AX16+BB16+BF16+BJ16+BN16+BR16+BV16+BZ16+CD16</f>
        <v/>
      </c>
      <c r="D16" s="152">
        <f>G15</f>
        <v/>
      </c>
      <c r="E16" s="159">
        <f>IF(D16&gt;0.005,D16*Debts!D8/12,0)</f>
        <v/>
      </c>
      <c r="F16" s="159" t="n">
        <v>0</v>
      </c>
      <c r="G16" s="152">
        <f>MAX(0,D16+E16-F16)</f>
        <v/>
      </c>
      <c r="H16" s="152">
        <f>K15</f>
        <v/>
      </c>
      <c r="I16" s="159">
        <f>IF(H16&gt;0.005,H16*Debts!D9/12,0)</f>
        <v/>
      </c>
      <c r="J16" s="159" t="n">
        <v>0</v>
      </c>
      <c r="K16" s="152">
        <f>MAX(0,H16+I16-J16)</f>
        <v/>
      </c>
      <c r="L16" s="152">
        <f>O15</f>
        <v/>
      </c>
      <c r="M16" s="159">
        <f>IF(L16&gt;0.005,L16*Debts!D10/12,0)</f>
        <v/>
      </c>
      <c r="N16" s="159" t="n">
        <v>0</v>
      </c>
      <c r="O16" s="152">
        <f>MAX(0,L16+M16-N16)</f>
        <v/>
      </c>
      <c r="P16" s="152">
        <f>S15</f>
        <v/>
      </c>
      <c r="Q16" s="159">
        <f>IF(P16&gt;0.005,P16*Debts!D11/12,0)</f>
        <v/>
      </c>
      <c r="R16" s="159" t="n">
        <v>0</v>
      </c>
      <c r="S16" s="152">
        <f>MAX(0,P16+Q16-R16)</f>
        <v/>
      </c>
      <c r="T16" s="152">
        <f>W15</f>
        <v/>
      </c>
      <c r="U16" s="159">
        <f>IF(T16&gt;0.005,T16*Debts!D12/12,0)</f>
        <v/>
      </c>
      <c r="V16" s="159" t="n">
        <v>0</v>
      </c>
      <c r="W16" s="152">
        <f>MAX(0,T16+U16-V16)</f>
        <v/>
      </c>
      <c r="X16" s="152">
        <f>AA15</f>
        <v/>
      </c>
      <c r="Y16" s="159">
        <f>IF(X16&gt;0.005,X16*Debts!D13/12,0)</f>
        <v/>
      </c>
      <c r="Z16" s="159" t="n">
        <v>0</v>
      </c>
      <c r="AA16" s="152">
        <f>MAX(0,X16+Y16-Z16)</f>
        <v/>
      </c>
      <c r="AB16" s="152">
        <f>AE15</f>
        <v/>
      </c>
      <c r="AC16" s="159">
        <f>IF(AB16&gt;0.005,AB16*Debts!D14/12,0)</f>
        <v/>
      </c>
      <c r="AD16" s="159" t="n">
        <v>0</v>
      </c>
      <c r="AE16" s="152">
        <f>MAX(0,AB16+AC16-AD16)</f>
        <v/>
      </c>
      <c r="AF16" s="152">
        <f>AI15</f>
        <v/>
      </c>
      <c r="AG16" s="159">
        <f>IF(AF16&gt;0.005,AF16*Debts!D15/12,0)</f>
        <v/>
      </c>
      <c r="AH16" s="159" t="n">
        <v>0</v>
      </c>
      <c r="AI16" s="152">
        <f>MAX(0,AF16+AG16-AH16)</f>
        <v/>
      </c>
      <c r="AJ16" s="152">
        <f>AM15</f>
        <v/>
      </c>
      <c r="AK16" s="159">
        <f>IF(AJ16&gt;0.005,AJ16*Debts!D16/12,0)</f>
        <v/>
      </c>
      <c r="AL16" s="159" t="n">
        <v>0</v>
      </c>
      <c r="AM16" s="152">
        <f>MAX(0,AJ16+AK16-AL16)</f>
        <v/>
      </c>
      <c r="AN16" s="152">
        <f>AQ15</f>
        <v/>
      </c>
      <c r="AO16" s="159">
        <f>IF(AN16&gt;0.005,AN16*Debts!D17/12,0)</f>
        <v/>
      </c>
      <c r="AP16" s="159" t="n">
        <v>0</v>
      </c>
      <c r="AQ16" s="152">
        <f>MAX(0,AN16+AO16-AP16)</f>
        <v/>
      </c>
      <c r="AR16" s="152">
        <f>AU15</f>
        <v/>
      </c>
      <c r="AS16" s="159">
        <f>IF(AR16&gt;0.005,AR16*Debts!D18/12,0)</f>
        <v/>
      </c>
      <c r="AT16" s="159" t="n">
        <v>0</v>
      </c>
      <c r="AU16" s="152">
        <f>MAX(0,AR16+AS16-AT16)</f>
        <v/>
      </c>
      <c r="AV16" s="152">
        <f>AY15</f>
        <v/>
      </c>
      <c r="AW16" s="159">
        <f>IF(AV16&gt;0.005,AV16*Debts!D19/12,0)</f>
        <v/>
      </c>
      <c r="AX16" s="159" t="n">
        <v>0</v>
      </c>
      <c r="AY16" s="152">
        <f>MAX(0,AV16+AW16-AX16)</f>
        <v/>
      </c>
      <c r="AZ16" s="152">
        <f>BC15</f>
        <v/>
      </c>
      <c r="BA16" s="159">
        <f>IF(AZ16&gt;0.005,AZ16*Debts!D20/12,0)</f>
        <v/>
      </c>
      <c r="BB16" s="159" t="n">
        <v>0</v>
      </c>
      <c r="BC16" s="152">
        <f>MAX(0,AZ16+BA16-BB16)</f>
        <v/>
      </c>
      <c r="BD16" s="152">
        <f>BG15</f>
        <v/>
      </c>
      <c r="BE16" s="159">
        <f>IF(BD16&gt;0.005,BD16*Debts!D21/12,0)</f>
        <v/>
      </c>
      <c r="BF16" s="159" t="n">
        <v>0</v>
      </c>
      <c r="BG16" s="152">
        <f>MAX(0,BD16+BE16-BF16)</f>
        <v/>
      </c>
      <c r="BH16" s="152">
        <f>BK15</f>
        <v/>
      </c>
      <c r="BI16" s="159">
        <f>IF(BH16&gt;0.005,BH16*Debts!D22/12,0)</f>
        <v/>
      </c>
      <c r="BJ16" s="159" t="n">
        <v>0</v>
      </c>
      <c r="BK16" s="152">
        <f>MAX(0,BH16+BI16-BJ16)</f>
        <v/>
      </c>
      <c r="BL16" s="152">
        <f>BO15</f>
        <v/>
      </c>
      <c r="BM16" s="159">
        <f>IF(BL16&gt;0.005,BL16*Debts!D23/12,0)</f>
        <v/>
      </c>
      <c r="BN16" s="159" t="n">
        <v>0</v>
      </c>
      <c r="BO16" s="152">
        <f>MAX(0,BL16+BM16-BN16)</f>
        <v/>
      </c>
      <c r="BP16" s="152">
        <f>BS15</f>
        <v/>
      </c>
      <c r="BQ16" s="159">
        <f>IF(BP16&gt;0.005,BP16*Debts!D24/12,0)</f>
        <v/>
      </c>
      <c r="BR16" s="159" t="n">
        <v>0</v>
      </c>
      <c r="BS16" s="152">
        <f>MAX(0,BP16+BQ16-BR16)</f>
        <v/>
      </c>
      <c r="BT16" s="152">
        <f>BW15</f>
        <v/>
      </c>
      <c r="BU16" s="159">
        <f>IF(BT16&gt;0.005,BT16*Debts!D25/12,0)</f>
        <v/>
      </c>
      <c r="BV16" s="159" t="n">
        <v>0</v>
      </c>
      <c r="BW16" s="152">
        <f>MAX(0,BT16+BU16-BV16)</f>
        <v/>
      </c>
      <c r="BX16" s="152">
        <f>CA15</f>
        <v/>
      </c>
      <c r="BY16" s="159">
        <f>IF(BX16&gt;0.005,BX16*Debts!D26/12,0)</f>
        <v/>
      </c>
      <c r="BZ16" s="159" t="n">
        <v>0</v>
      </c>
      <c r="CA16" s="152">
        <f>MAX(0,BX16+BY16-BZ16)</f>
        <v/>
      </c>
      <c r="CB16" s="152">
        <f>CE15</f>
        <v/>
      </c>
      <c r="CC16" s="159">
        <f>IF(CB16&gt;0.005,CB16*Debts!D27/12,0)</f>
        <v/>
      </c>
      <c r="CD16" s="159" t="n">
        <v>0</v>
      </c>
      <c r="CE16" s="152">
        <f>MAX(0,CB16+CC16-CD16)</f>
        <v/>
      </c>
      <c r="CF16" s="152">
        <f>G16+K16+O16+S16+W16+AA16+AE16+AI16+AM16+AQ16+AU16+AY16+BC16+BG16+BK16+BO16+BS16+BW16+CA16+CE16</f>
        <v/>
      </c>
      <c r="CG16" s="159">
        <f>E16+I16+M16+Q16+U16+Y16+AC16+AG16+AK16+AO16+AS16+AW16+BA16+BE16+BI16+BM16+BQ16+BU16+BY16+CC16</f>
        <v/>
      </c>
      <c r="CH16" s="152">
        <f>CH15+CG16</f>
        <v/>
      </c>
      <c r="CI16" s="148" t="n"/>
      <c r="CJ16" s="148" t="n"/>
    </row>
    <row r="17" ht="15" customHeight="1" s="83">
      <c r="A17" s="148" t="n"/>
      <c r="B17" s="158" t="n">
        <v>13</v>
      </c>
      <c r="C17" s="152">
        <f>F17+J17+N17+R17+V17+Z17+AD17+AH17+AL17+AP17+AT17+AX17+BB17+BF17+BJ17+BN17+BR17+BV17+BZ17+CD17</f>
        <v/>
      </c>
      <c r="D17" s="152">
        <f>G16</f>
        <v/>
      </c>
      <c r="E17" s="159">
        <f>IF(D17&gt;0.005,D17*Debts!D8/12,0)</f>
        <v/>
      </c>
      <c r="F17" s="159" t="n">
        <v>0</v>
      </c>
      <c r="G17" s="152">
        <f>MAX(0,D17+E17-F17)</f>
        <v/>
      </c>
      <c r="H17" s="152">
        <f>K16</f>
        <v/>
      </c>
      <c r="I17" s="159">
        <f>IF(H17&gt;0.005,H17*Debts!D9/12,0)</f>
        <v/>
      </c>
      <c r="J17" s="159" t="n">
        <v>0</v>
      </c>
      <c r="K17" s="152">
        <f>MAX(0,H17+I17-J17)</f>
        <v/>
      </c>
      <c r="L17" s="152">
        <f>O16</f>
        <v/>
      </c>
      <c r="M17" s="159">
        <f>IF(L17&gt;0.005,L17*Debts!D10/12,0)</f>
        <v/>
      </c>
      <c r="N17" s="159" t="n">
        <v>0</v>
      </c>
      <c r="O17" s="152">
        <f>MAX(0,L17+M17-N17)</f>
        <v/>
      </c>
      <c r="P17" s="152">
        <f>S16</f>
        <v/>
      </c>
      <c r="Q17" s="159">
        <f>IF(P17&gt;0.005,P17*Debts!D11/12,0)</f>
        <v/>
      </c>
      <c r="R17" s="159" t="n">
        <v>0</v>
      </c>
      <c r="S17" s="152">
        <f>MAX(0,P17+Q17-R17)</f>
        <v/>
      </c>
      <c r="T17" s="152">
        <f>W16</f>
        <v/>
      </c>
      <c r="U17" s="159">
        <f>IF(T17&gt;0.005,T17*Debts!D12/12,0)</f>
        <v/>
      </c>
      <c r="V17" s="159" t="n">
        <v>0</v>
      </c>
      <c r="W17" s="152">
        <f>MAX(0,T17+U17-V17)</f>
        <v/>
      </c>
      <c r="X17" s="152">
        <f>AA16</f>
        <v/>
      </c>
      <c r="Y17" s="159">
        <f>IF(X17&gt;0.005,X17*Debts!D13/12,0)</f>
        <v/>
      </c>
      <c r="Z17" s="159" t="n">
        <v>0</v>
      </c>
      <c r="AA17" s="152">
        <f>MAX(0,X17+Y17-Z17)</f>
        <v/>
      </c>
      <c r="AB17" s="152">
        <f>AE16</f>
        <v/>
      </c>
      <c r="AC17" s="159">
        <f>IF(AB17&gt;0.005,AB17*Debts!D14/12,0)</f>
        <v/>
      </c>
      <c r="AD17" s="159" t="n">
        <v>0</v>
      </c>
      <c r="AE17" s="152">
        <f>MAX(0,AB17+AC17-AD17)</f>
        <v/>
      </c>
      <c r="AF17" s="152">
        <f>AI16</f>
        <v/>
      </c>
      <c r="AG17" s="159">
        <f>IF(AF17&gt;0.005,AF17*Debts!D15/12,0)</f>
        <v/>
      </c>
      <c r="AH17" s="159" t="n">
        <v>0</v>
      </c>
      <c r="AI17" s="152">
        <f>MAX(0,AF17+AG17-AH17)</f>
        <v/>
      </c>
      <c r="AJ17" s="152">
        <f>AM16</f>
        <v/>
      </c>
      <c r="AK17" s="159">
        <f>IF(AJ17&gt;0.005,AJ17*Debts!D16/12,0)</f>
        <v/>
      </c>
      <c r="AL17" s="159" t="n">
        <v>0</v>
      </c>
      <c r="AM17" s="152">
        <f>MAX(0,AJ17+AK17-AL17)</f>
        <v/>
      </c>
      <c r="AN17" s="152">
        <f>AQ16</f>
        <v/>
      </c>
      <c r="AO17" s="159">
        <f>IF(AN17&gt;0.005,AN17*Debts!D17/12,0)</f>
        <v/>
      </c>
      <c r="AP17" s="159" t="n">
        <v>0</v>
      </c>
      <c r="AQ17" s="152">
        <f>MAX(0,AN17+AO17-AP17)</f>
        <v/>
      </c>
      <c r="AR17" s="152">
        <f>AU16</f>
        <v/>
      </c>
      <c r="AS17" s="159">
        <f>IF(AR17&gt;0.005,AR17*Debts!D18/12,0)</f>
        <v/>
      </c>
      <c r="AT17" s="159" t="n">
        <v>0</v>
      </c>
      <c r="AU17" s="152">
        <f>MAX(0,AR17+AS17-AT17)</f>
        <v/>
      </c>
      <c r="AV17" s="152">
        <f>AY16</f>
        <v/>
      </c>
      <c r="AW17" s="159">
        <f>IF(AV17&gt;0.005,AV17*Debts!D19/12,0)</f>
        <v/>
      </c>
      <c r="AX17" s="159" t="n">
        <v>0</v>
      </c>
      <c r="AY17" s="152">
        <f>MAX(0,AV17+AW17-AX17)</f>
        <v/>
      </c>
      <c r="AZ17" s="152">
        <f>BC16</f>
        <v/>
      </c>
      <c r="BA17" s="159">
        <f>IF(AZ17&gt;0.005,AZ17*Debts!D20/12,0)</f>
        <v/>
      </c>
      <c r="BB17" s="159" t="n">
        <v>0</v>
      </c>
      <c r="BC17" s="152">
        <f>MAX(0,AZ17+BA17-BB17)</f>
        <v/>
      </c>
      <c r="BD17" s="152">
        <f>BG16</f>
        <v/>
      </c>
      <c r="BE17" s="159">
        <f>IF(BD17&gt;0.005,BD17*Debts!D21/12,0)</f>
        <v/>
      </c>
      <c r="BF17" s="159" t="n">
        <v>0</v>
      </c>
      <c r="BG17" s="152">
        <f>MAX(0,BD17+BE17-BF17)</f>
        <v/>
      </c>
      <c r="BH17" s="152">
        <f>BK16</f>
        <v/>
      </c>
      <c r="BI17" s="159">
        <f>IF(BH17&gt;0.005,BH17*Debts!D22/12,0)</f>
        <v/>
      </c>
      <c r="BJ17" s="159" t="n">
        <v>0</v>
      </c>
      <c r="BK17" s="152">
        <f>MAX(0,BH17+BI17-BJ17)</f>
        <v/>
      </c>
      <c r="BL17" s="152">
        <f>BO16</f>
        <v/>
      </c>
      <c r="BM17" s="159">
        <f>IF(BL17&gt;0.005,BL17*Debts!D23/12,0)</f>
        <v/>
      </c>
      <c r="BN17" s="159" t="n">
        <v>0</v>
      </c>
      <c r="BO17" s="152">
        <f>MAX(0,BL17+BM17-BN17)</f>
        <v/>
      </c>
      <c r="BP17" s="152">
        <f>BS16</f>
        <v/>
      </c>
      <c r="BQ17" s="159">
        <f>IF(BP17&gt;0.005,BP17*Debts!D24/12,0)</f>
        <v/>
      </c>
      <c r="BR17" s="159" t="n">
        <v>0</v>
      </c>
      <c r="BS17" s="152">
        <f>MAX(0,BP17+BQ17-BR17)</f>
        <v/>
      </c>
      <c r="BT17" s="152">
        <f>BW16</f>
        <v/>
      </c>
      <c r="BU17" s="159">
        <f>IF(BT17&gt;0.005,BT17*Debts!D25/12,0)</f>
        <v/>
      </c>
      <c r="BV17" s="159" t="n">
        <v>0</v>
      </c>
      <c r="BW17" s="152">
        <f>MAX(0,BT17+BU17-BV17)</f>
        <v/>
      </c>
      <c r="BX17" s="152">
        <f>CA16</f>
        <v/>
      </c>
      <c r="BY17" s="159">
        <f>IF(BX17&gt;0.005,BX17*Debts!D26/12,0)</f>
        <v/>
      </c>
      <c r="BZ17" s="159" t="n">
        <v>0</v>
      </c>
      <c r="CA17" s="152">
        <f>MAX(0,BX17+BY17-BZ17)</f>
        <v/>
      </c>
      <c r="CB17" s="152">
        <f>CE16</f>
        <v/>
      </c>
      <c r="CC17" s="159">
        <f>IF(CB17&gt;0.005,CB17*Debts!D27/12,0)</f>
        <v/>
      </c>
      <c r="CD17" s="159" t="n">
        <v>0</v>
      </c>
      <c r="CE17" s="152">
        <f>MAX(0,CB17+CC17-CD17)</f>
        <v/>
      </c>
      <c r="CF17" s="152">
        <f>G17+K17+O17+S17+W17+AA17+AE17+AI17+AM17+AQ17+AU17+AY17+BC17+BG17+BK17+BO17+BS17+BW17+CA17+CE17</f>
        <v/>
      </c>
      <c r="CG17" s="159">
        <f>E17+I17+M17+Q17+U17+Y17+AC17+AG17+AK17+AO17+AS17+AW17+BA17+BE17+BI17+BM17+BQ17+BU17+BY17+CC17</f>
        <v/>
      </c>
      <c r="CH17" s="152">
        <f>CH16+CG17</f>
        <v/>
      </c>
      <c r="CI17" s="148" t="n"/>
      <c r="CJ17" s="148" t="n"/>
    </row>
    <row r="18" ht="15" customHeight="1" s="83">
      <c r="A18" s="148" t="n"/>
      <c r="B18" s="158" t="n">
        <v>14</v>
      </c>
      <c r="C18" s="152">
        <f>F18+J18+N18+R18+V18+Z18+AD18+AH18+AL18+AP18+AT18+AX18+BB18+BF18+BJ18+BN18+BR18+BV18+BZ18+CD18</f>
        <v/>
      </c>
      <c r="D18" s="152">
        <f>G17</f>
        <v/>
      </c>
      <c r="E18" s="159">
        <f>IF(D18&gt;0.005,D18*Debts!D8/12,0)</f>
        <v/>
      </c>
      <c r="F18" s="159" t="n">
        <v>0</v>
      </c>
      <c r="G18" s="152">
        <f>MAX(0,D18+E18-F18)</f>
        <v/>
      </c>
      <c r="H18" s="152">
        <f>K17</f>
        <v/>
      </c>
      <c r="I18" s="159">
        <f>IF(H18&gt;0.005,H18*Debts!D9/12,0)</f>
        <v/>
      </c>
      <c r="J18" s="159" t="n">
        <v>0</v>
      </c>
      <c r="K18" s="152">
        <f>MAX(0,H18+I18-J18)</f>
        <v/>
      </c>
      <c r="L18" s="152">
        <f>O17</f>
        <v/>
      </c>
      <c r="M18" s="159">
        <f>IF(L18&gt;0.005,L18*Debts!D10/12,0)</f>
        <v/>
      </c>
      <c r="N18" s="159" t="n">
        <v>0</v>
      </c>
      <c r="O18" s="152">
        <f>MAX(0,L18+M18-N18)</f>
        <v/>
      </c>
      <c r="P18" s="152">
        <f>S17</f>
        <v/>
      </c>
      <c r="Q18" s="159">
        <f>IF(P18&gt;0.005,P18*Debts!D11/12,0)</f>
        <v/>
      </c>
      <c r="R18" s="159" t="n">
        <v>0</v>
      </c>
      <c r="S18" s="152">
        <f>MAX(0,P18+Q18-R18)</f>
        <v/>
      </c>
      <c r="T18" s="152">
        <f>W17</f>
        <v/>
      </c>
      <c r="U18" s="159">
        <f>IF(T18&gt;0.005,T18*Debts!D12/12,0)</f>
        <v/>
      </c>
      <c r="V18" s="159" t="n">
        <v>0</v>
      </c>
      <c r="W18" s="152">
        <f>MAX(0,T18+U18-V18)</f>
        <v/>
      </c>
      <c r="X18" s="152">
        <f>AA17</f>
        <v/>
      </c>
      <c r="Y18" s="159">
        <f>IF(X18&gt;0.005,X18*Debts!D13/12,0)</f>
        <v/>
      </c>
      <c r="Z18" s="159" t="n">
        <v>0</v>
      </c>
      <c r="AA18" s="152">
        <f>MAX(0,X18+Y18-Z18)</f>
        <v/>
      </c>
      <c r="AB18" s="152">
        <f>AE17</f>
        <v/>
      </c>
      <c r="AC18" s="159">
        <f>IF(AB18&gt;0.005,AB18*Debts!D14/12,0)</f>
        <v/>
      </c>
      <c r="AD18" s="159" t="n">
        <v>0</v>
      </c>
      <c r="AE18" s="152">
        <f>MAX(0,AB18+AC18-AD18)</f>
        <v/>
      </c>
      <c r="AF18" s="152">
        <f>AI17</f>
        <v/>
      </c>
      <c r="AG18" s="159">
        <f>IF(AF18&gt;0.005,AF18*Debts!D15/12,0)</f>
        <v/>
      </c>
      <c r="AH18" s="159" t="n">
        <v>0</v>
      </c>
      <c r="AI18" s="152">
        <f>MAX(0,AF18+AG18-AH18)</f>
        <v/>
      </c>
      <c r="AJ18" s="152">
        <f>AM17</f>
        <v/>
      </c>
      <c r="AK18" s="159">
        <f>IF(AJ18&gt;0.005,AJ18*Debts!D16/12,0)</f>
        <v/>
      </c>
      <c r="AL18" s="159" t="n">
        <v>0</v>
      </c>
      <c r="AM18" s="152">
        <f>MAX(0,AJ18+AK18-AL18)</f>
        <v/>
      </c>
      <c r="AN18" s="152">
        <f>AQ17</f>
        <v/>
      </c>
      <c r="AO18" s="159">
        <f>IF(AN18&gt;0.005,AN18*Debts!D17/12,0)</f>
        <v/>
      </c>
      <c r="AP18" s="159" t="n">
        <v>0</v>
      </c>
      <c r="AQ18" s="152">
        <f>MAX(0,AN18+AO18-AP18)</f>
        <v/>
      </c>
      <c r="AR18" s="152">
        <f>AU17</f>
        <v/>
      </c>
      <c r="AS18" s="159">
        <f>IF(AR18&gt;0.005,AR18*Debts!D18/12,0)</f>
        <v/>
      </c>
      <c r="AT18" s="159" t="n">
        <v>0</v>
      </c>
      <c r="AU18" s="152">
        <f>MAX(0,AR18+AS18-AT18)</f>
        <v/>
      </c>
      <c r="AV18" s="152">
        <f>AY17</f>
        <v/>
      </c>
      <c r="AW18" s="159">
        <f>IF(AV18&gt;0.005,AV18*Debts!D19/12,0)</f>
        <v/>
      </c>
      <c r="AX18" s="159" t="n">
        <v>0</v>
      </c>
      <c r="AY18" s="152">
        <f>MAX(0,AV18+AW18-AX18)</f>
        <v/>
      </c>
      <c r="AZ18" s="152">
        <f>BC17</f>
        <v/>
      </c>
      <c r="BA18" s="159">
        <f>IF(AZ18&gt;0.005,AZ18*Debts!D20/12,0)</f>
        <v/>
      </c>
      <c r="BB18" s="159" t="n">
        <v>0</v>
      </c>
      <c r="BC18" s="152">
        <f>MAX(0,AZ18+BA18-BB18)</f>
        <v/>
      </c>
      <c r="BD18" s="152">
        <f>BG17</f>
        <v/>
      </c>
      <c r="BE18" s="159">
        <f>IF(BD18&gt;0.005,BD18*Debts!D21/12,0)</f>
        <v/>
      </c>
      <c r="BF18" s="159" t="n">
        <v>0</v>
      </c>
      <c r="BG18" s="152">
        <f>MAX(0,BD18+BE18-BF18)</f>
        <v/>
      </c>
      <c r="BH18" s="152">
        <f>BK17</f>
        <v/>
      </c>
      <c r="BI18" s="159">
        <f>IF(BH18&gt;0.005,BH18*Debts!D22/12,0)</f>
        <v/>
      </c>
      <c r="BJ18" s="159" t="n">
        <v>0</v>
      </c>
      <c r="BK18" s="152">
        <f>MAX(0,BH18+BI18-BJ18)</f>
        <v/>
      </c>
      <c r="BL18" s="152">
        <f>BO17</f>
        <v/>
      </c>
      <c r="BM18" s="159">
        <f>IF(BL18&gt;0.005,BL18*Debts!D23/12,0)</f>
        <v/>
      </c>
      <c r="BN18" s="159" t="n">
        <v>0</v>
      </c>
      <c r="BO18" s="152">
        <f>MAX(0,BL18+BM18-BN18)</f>
        <v/>
      </c>
      <c r="BP18" s="152">
        <f>BS17</f>
        <v/>
      </c>
      <c r="BQ18" s="159">
        <f>IF(BP18&gt;0.005,BP18*Debts!D24/12,0)</f>
        <v/>
      </c>
      <c r="BR18" s="159" t="n">
        <v>0</v>
      </c>
      <c r="BS18" s="152">
        <f>MAX(0,BP18+BQ18-BR18)</f>
        <v/>
      </c>
      <c r="BT18" s="152">
        <f>BW17</f>
        <v/>
      </c>
      <c r="BU18" s="159">
        <f>IF(BT18&gt;0.005,BT18*Debts!D25/12,0)</f>
        <v/>
      </c>
      <c r="BV18" s="159" t="n">
        <v>0</v>
      </c>
      <c r="BW18" s="152">
        <f>MAX(0,BT18+BU18-BV18)</f>
        <v/>
      </c>
      <c r="BX18" s="152">
        <f>CA17</f>
        <v/>
      </c>
      <c r="BY18" s="159">
        <f>IF(BX18&gt;0.005,BX18*Debts!D26/12,0)</f>
        <v/>
      </c>
      <c r="BZ18" s="159" t="n">
        <v>0</v>
      </c>
      <c r="CA18" s="152">
        <f>MAX(0,BX18+BY18-BZ18)</f>
        <v/>
      </c>
      <c r="CB18" s="152">
        <f>CE17</f>
        <v/>
      </c>
      <c r="CC18" s="159">
        <f>IF(CB18&gt;0.005,CB18*Debts!D27/12,0)</f>
        <v/>
      </c>
      <c r="CD18" s="159" t="n">
        <v>0</v>
      </c>
      <c r="CE18" s="152">
        <f>MAX(0,CB18+CC18-CD18)</f>
        <v/>
      </c>
      <c r="CF18" s="152">
        <f>G18+K18+O18+S18+W18+AA18+AE18+AI18+AM18+AQ18+AU18+AY18+BC18+BG18+BK18+BO18+BS18+BW18+CA18+CE18</f>
        <v/>
      </c>
      <c r="CG18" s="159">
        <f>E18+I18+M18+Q18+U18+Y18+AC18+AG18+AK18+AO18+AS18+AW18+BA18+BE18+BI18+BM18+BQ18+BU18+BY18+CC18</f>
        <v/>
      </c>
      <c r="CH18" s="152">
        <f>CH17+CG18</f>
        <v/>
      </c>
      <c r="CI18" s="148" t="n"/>
      <c r="CJ18" s="148" t="n"/>
    </row>
    <row r="19" ht="15" customHeight="1" s="83">
      <c r="A19" s="148" t="n"/>
      <c r="B19" s="158" t="n">
        <v>15</v>
      </c>
      <c r="C19" s="152">
        <f>F19+J19+N19+R19+V19+Z19+AD19+AH19+AL19+AP19+AT19+AX19+BB19+BF19+BJ19+BN19+BR19+BV19+BZ19+CD19</f>
        <v/>
      </c>
      <c r="D19" s="152">
        <f>G18</f>
        <v/>
      </c>
      <c r="E19" s="159">
        <f>IF(D19&gt;0.005,D19*Debts!D8/12,0)</f>
        <v/>
      </c>
      <c r="F19" s="159" t="n">
        <v>0</v>
      </c>
      <c r="G19" s="152">
        <f>MAX(0,D19+E19-F19)</f>
        <v/>
      </c>
      <c r="H19" s="152">
        <f>K18</f>
        <v/>
      </c>
      <c r="I19" s="159">
        <f>IF(H19&gt;0.005,H19*Debts!D9/12,0)</f>
        <v/>
      </c>
      <c r="J19" s="159" t="n">
        <v>0</v>
      </c>
      <c r="K19" s="152">
        <f>MAX(0,H19+I19-J19)</f>
        <v/>
      </c>
      <c r="L19" s="152">
        <f>O18</f>
        <v/>
      </c>
      <c r="M19" s="159">
        <f>IF(L19&gt;0.005,L19*Debts!D10/12,0)</f>
        <v/>
      </c>
      <c r="N19" s="159" t="n">
        <v>0</v>
      </c>
      <c r="O19" s="152">
        <f>MAX(0,L19+M19-N19)</f>
        <v/>
      </c>
      <c r="P19" s="152">
        <f>S18</f>
        <v/>
      </c>
      <c r="Q19" s="159">
        <f>IF(P19&gt;0.005,P19*Debts!D11/12,0)</f>
        <v/>
      </c>
      <c r="R19" s="159" t="n">
        <v>0</v>
      </c>
      <c r="S19" s="152">
        <f>MAX(0,P19+Q19-R19)</f>
        <v/>
      </c>
      <c r="T19" s="152">
        <f>W18</f>
        <v/>
      </c>
      <c r="U19" s="159">
        <f>IF(T19&gt;0.005,T19*Debts!D12/12,0)</f>
        <v/>
      </c>
      <c r="V19" s="159" t="n">
        <v>0</v>
      </c>
      <c r="W19" s="152">
        <f>MAX(0,T19+U19-V19)</f>
        <v/>
      </c>
      <c r="X19" s="152">
        <f>AA18</f>
        <v/>
      </c>
      <c r="Y19" s="159">
        <f>IF(X19&gt;0.005,X19*Debts!D13/12,0)</f>
        <v/>
      </c>
      <c r="Z19" s="159" t="n">
        <v>0</v>
      </c>
      <c r="AA19" s="152">
        <f>MAX(0,X19+Y19-Z19)</f>
        <v/>
      </c>
      <c r="AB19" s="152">
        <f>AE18</f>
        <v/>
      </c>
      <c r="AC19" s="159">
        <f>IF(AB19&gt;0.005,AB19*Debts!D14/12,0)</f>
        <v/>
      </c>
      <c r="AD19" s="159" t="n">
        <v>0</v>
      </c>
      <c r="AE19" s="152">
        <f>MAX(0,AB19+AC19-AD19)</f>
        <v/>
      </c>
      <c r="AF19" s="152">
        <f>AI18</f>
        <v/>
      </c>
      <c r="AG19" s="159">
        <f>IF(AF19&gt;0.005,AF19*Debts!D15/12,0)</f>
        <v/>
      </c>
      <c r="AH19" s="159" t="n">
        <v>0</v>
      </c>
      <c r="AI19" s="152">
        <f>MAX(0,AF19+AG19-AH19)</f>
        <v/>
      </c>
      <c r="AJ19" s="152">
        <f>AM18</f>
        <v/>
      </c>
      <c r="AK19" s="159">
        <f>IF(AJ19&gt;0.005,AJ19*Debts!D16/12,0)</f>
        <v/>
      </c>
      <c r="AL19" s="159" t="n">
        <v>0</v>
      </c>
      <c r="AM19" s="152">
        <f>MAX(0,AJ19+AK19-AL19)</f>
        <v/>
      </c>
      <c r="AN19" s="152">
        <f>AQ18</f>
        <v/>
      </c>
      <c r="AO19" s="159">
        <f>IF(AN19&gt;0.005,AN19*Debts!D17/12,0)</f>
        <v/>
      </c>
      <c r="AP19" s="159" t="n">
        <v>0</v>
      </c>
      <c r="AQ19" s="152">
        <f>MAX(0,AN19+AO19-AP19)</f>
        <v/>
      </c>
      <c r="AR19" s="152">
        <f>AU18</f>
        <v/>
      </c>
      <c r="AS19" s="159">
        <f>IF(AR19&gt;0.005,AR19*Debts!D18/12,0)</f>
        <v/>
      </c>
      <c r="AT19" s="159" t="n">
        <v>0</v>
      </c>
      <c r="AU19" s="152">
        <f>MAX(0,AR19+AS19-AT19)</f>
        <v/>
      </c>
      <c r="AV19" s="152">
        <f>AY18</f>
        <v/>
      </c>
      <c r="AW19" s="159">
        <f>IF(AV19&gt;0.005,AV19*Debts!D19/12,0)</f>
        <v/>
      </c>
      <c r="AX19" s="159" t="n">
        <v>0</v>
      </c>
      <c r="AY19" s="152">
        <f>MAX(0,AV19+AW19-AX19)</f>
        <v/>
      </c>
      <c r="AZ19" s="152">
        <f>BC18</f>
        <v/>
      </c>
      <c r="BA19" s="159">
        <f>IF(AZ19&gt;0.005,AZ19*Debts!D20/12,0)</f>
        <v/>
      </c>
      <c r="BB19" s="159" t="n">
        <v>0</v>
      </c>
      <c r="BC19" s="152">
        <f>MAX(0,AZ19+BA19-BB19)</f>
        <v/>
      </c>
      <c r="BD19" s="152">
        <f>BG18</f>
        <v/>
      </c>
      <c r="BE19" s="159">
        <f>IF(BD19&gt;0.005,BD19*Debts!D21/12,0)</f>
        <v/>
      </c>
      <c r="BF19" s="159" t="n">
        <v>0</v>
      </c>
      <c r="BG19" s="152">
        <f>MAX(0,BD19+BE19-BF19)</f>
        <v/>
      </c>
      <c r="BH19" s="152">
        <f>BK18</f>
        <v/>
      </c>
      <c r="BI19" s="159">
        <f>IF(BH19&gt;0.005,BH19*Debts!D22/12,0)</f>
        <v/>
      </c>
      <c r="BJ19" s="159" t="n">
        <v>0</v>
      </c>
      <c r="BK19" s="152">
        <f>MAX(0,BH19+BI19-BJ19)</f>
        <v/>
      </c>
      <c r="BL19" s="152">
        <f>BO18</f>
        <v/>
      </c>
      <c r="BM19" s="159">
        <f>IF(BL19&gt;0.005,BL19*Debts!D23/12,0)</f>
        <v/>
      </c>
      <c r="BN19" s="159" t="n">
        <v>0</v>
      </c>
      <c r="BO19" s="152">
        <f>MAX(0,BL19+BM19-BN19)</f>
        <v/>
      </c>
      <c r="BP19" s="152">
        <f>BS18</f>
        <v/>
      </c>
      <c r="BQ19" s="159">
        <f>IF(BP19&gt;0.005,BP19*Debts!D24/12,0)</f>
        <v/>
      </c>
      <c r="BR19" s="159" t="n">
        <v>0</v>
      </c>
      <c r="BS19" s="152">
        <f>MAX(0,BP19+BQ19-BR19)</f>
        <v/>
      </c>
      <c r="BT19" s="152">
        <f>BW18</f>
        <v/>
      </c>
      <c r="BU19" s="159">
        <f>IF(BT19&gt;0.005,BT19*Debts!D25/12,0)</f>
        <v/>
      </c>
      <c r="BV19" s="159" t="n">
        <v>0</v>
      </c>
      <c r="BW19" s="152">
        <f>MAX(0,BT19+BU19-BV19)</f>
        <v/>
      </c>
      <c r="BX19" s="152">
        <f>CA18</f>
        <v/>
      </c>
      <c r="BY19" s="159">
        <f>IF(BX19&gt;0.005,BX19*Debts!D26/12,0)</f>
        <v/>
      </c>
      <c r="BZ19" s="159" t="n">
        <v>0</v>
      </c>
      <c r="CA19" s="152">
        <f>MAX(0,BX19+BY19-BZ19)</f>
        <v/>
      </c>
      <c r="CB19" s="152">
        <f>CE18</f>
        <v/>
      </c>
      <c r="CC19" s="159">
        <f>IF(CB19&gt;0.005,CB19*Debts!D27/12,0)</f>
        <v/>
      </c>
      <c r="CD19" s="159" t="n">
        <v>0</v>
      </c>
      <c r="CE19" s="152">
        <f>MAX(0,CB19+CC19-CD19)</f>
        <v/>
      </c>
      <c r="CF19" s="152">
        <f>G19+K19+O19+S19+W19+AA19+AE19+AI19+AM19+AQ19+AU19+AY19+BC19+BG19+BK19+BO19+BS19+BW19+CA19+CE19</f>
        <v/>
      </c>
      <c r="CG19" s="159">
        <f>E19+I19+M19+Q19+U19+Y19+AC19+AG19+AK19+AO19+AS19+AW19+BA19+BE19+BI19+BM19+BQ19+BU19+BY19+CC19</f>
        <v/>
      </c>
      <c r="CH19" s="152">
        <f>CH18+CG19</f>
        <v/>
      </c>
      <c r="CI19" s="148" t="n"/>
      <c r="CJ19" s="148" t="n"/>
    </row>
    <row r="20" ht="15" customHeight="1" s="83">
      <c r="A20" s="148" t="n"/>
      <c r="B20" s="158" t="n">
        <v>16</v>
      </c>
      <c r="C20" s="152">
        <f>F20+J20+N20+R20+V20+Z20+AD20+AH20+AL20+AP20+AT20+AX20+BB20+BF20+BJ20+BN20+BR20+BV20+BZ20+CD20</f>
        <v/>
      </c>
      <c r="D20" s="152">
        <f>G19</f>
        <v/>
      </c>
      <c r="E20" s="159">
        <f>IF(D20&gt;0.005,D20*Debts!D8/12,0)</f>
        <v/>
      </c>
      <c r="F20" s="159" t="n">
        <v>0</v>
      </c>
      <c r="G20" s="152">
        <f>MAX(0,D20+E20-F20)</f>
        <v/>
      </c>
      <c r="H20" s="152">
        <f>K19</f>
        <v/>
      </c>
      <c r="I20" s="159">
        <f>IF(H20&gt;0.005,H20*Debts!D9/12,0)</f>
        <v/>
      </c>
      <c r="J20" s="159" t="n">
        <v>0</v>
      </c>
      <c r="K20" s="152">
        <f>MAX(0,H20+I20-J20)</f>
        <v/>
      </c>
      <c r="L20" s="152">
        <f>O19</f>
        <v/>
      </c>
      <c r="M20" s="159">
        <f>IF(L20&gt;0.005,L20*Debts!D10/12,0)</f>
        <v/>
      </c>
      <c r="N20" s="159" t="n">
        <v>0</v>
      </c>
      <c r="O20" s="152">
        <f>MAX(0,L20+M20-N20)</f>
        <v/>
      </c>
      <c r="P20" s="152">
        <f>S19</f>
        <v/>
      </c>
      <c r="Q20" s="159">
        <f>IF(P20&gt;0.005,P20*Debts!D11/12,0)</f>
        <v/>
      </c>
      <c r="R20" s="159" t="n">
        <v>0</v>
      </c>
      <c r="S20" s="152">
        <f>MAX(0,P20+Q20-R20)</f>
        <v/>
      </c>
      <c r="T20" s="152">
        <f>W19</f>
        <v/>
      </c>
      <c r="U20" s="159">
        <f>IF(T20&gt;0.005,T20*Debts!D12/12,0)</f>
        <v/>
      </c>
      <c r="V20" s="159" t="n">
        <v>0</v>
      </c>
      <c r="W20" s="152">
        <f>MAX(0,T20+U20-V20)</f>
        <v/>
      </c>
      <c r="X20" s="152">
        <f>AA19</f>
        <v/>
      </c>
      <c r="Y20" s="159">
        <f>IF(X20&gt;0.005,X20*Debts!D13/12,0)</f>
        <v/>
      </c>
      <c r="Z20" s="159" t="n">
        <v>0</v>
      </c>
      <c r="AA20" s="152">
        <f>MAX(0,X20+Y20-Z20)</f>
        <v/>
      </c>
      <c r="AB20" s="152">
        <f>AE19</f>
        <v/>
      </c>
      <c r="AC20" s="159">
        <f>IF(AB20&gt;0.005,AB20*Debts!D14/12,0)</f>
        <v/>
      </c>
      <c r="AD20" s="159" t="n">
        <v>0</v>
      </c>
      <c r="AE20" s="152">
        <f>MAX(0,AB20+AC20-AD20)</f>
        <v/>
      </c>
      <c r="AF20" s="152">
        <f>AI19</f>
        <v/>
      </c>
      <c r="AG20" s="159">
        <f>IF(AF20&gt;0.005,AF20*Debts!D15/12,0)</f>
        <v/>
      </c>
      <c r="AH20" s="159" t="n">
        <v>0</v>
      </c>
      <c r="AI20" s="152">
        <f>MAX(0,AF20+AG20-AH20)</f>
        <v/>
      </c>
      <c r="AJ20" s="152">
        <f>AM19</f>
        <v/>
      </c>
      <c r="AK20" s="159">
        <f>IF(AJ20&gt;0.005,AJ20*Debts!D16/12,0)</f>
        <v/>
      </c>
      <c r="AL20" s="159" t="n">
        <v>0</v>
      </c>
      <c r="AM20" s="152">
        <f>MAX(0,AJ20+AK20-AL20)</f>
        <v/>
      </c>
      <c r="AN20" s="152">
        <f>AQ19</f>
        <v/>
      </c>
      <c r="AO20" s="159">
        <f>IF(AN20&gt;0.005,AN20*Debts!D17/12,0)</f>
        <v/>
      </c>
      <c r="AP20" s="159" t="n">
        <v>0</v>
      </c>
      <c r="AQ20" s="152">
        <f>MAX(0,AN20+AO20-AP20)</f>
        <v/>
      </c>
      <c r="AR20" s="152">
        <f>AU19</f>
        <v/>
      </c>
      <c r="AS20" s="159">
        <f>IF(AR20&gt;0.005,AR20*Debts!D18/12,0)</f>
        <v/>
      </c>
      <c r="AT20" s="159" t="n">
        <v>0</v>
      </c>
      <c r="AU20" s="152">
        <f>MAX(0,AR20+AS20-AT20)</f>
        <v/>
      </c>
      <c r="AV20" s="152">
        <f>AY19</f>
        <v/>
      </c>
      <c r="AW20" s="159">
        <f>IF(AV20&gt;0.005,AV20*Debts!D19/12,0)</f>
        <v/>
      </c>
      <c r="AX20" s="159" t="n">
        <v>0</v>
      </c>
      <c r="AY20" s="152">
        <f>MAX(0,AV20+AW20-AX20)</f>
        <v/>
      </c>
      <c r="AZ20" s="152">
        <f>BC19</f>
        <v/>
      </c>
      <c r="BA20" s="159">
        <f>IF(AZ20&gt;0.005,AZ20*Debts!D20/12,0)</f>
        <v/>
      </c>
      <c r="BB20" s="159" t="n">
        <v>0</v>
      </c>
      <c r="BC20" s="152">
        <f>MAX(0,AZ20+BA20-BB20)</f>
        <v/>
      </c>
      <c r="BD20" s="152">
        <f>BG19</f>
        <v/>
      </c>
      <c r="BE20" s="159">
        <f>IF(BD20&gt;0.005,BD20*Debts!D21/12,0)</f>
        <v/>
      </c>
      <c r="BF20" s="159" t="n">
        <v>0</v>
      </c>
      <c r="BG20" s="152">
        <f>MAX(0,BD20+BE20-BF20)</f>
        <v/>
      </c>
      <c r="BH20" s="152">
        <f>BK19</f>
        <v/>
      </c>
      <c r="BI20" s="159">
        <f>IF(BH20&gt;0.005,BH20*Debts!D22/12,0)</f>
        <v/>
      </c>
      <c r="BJ20" s="159" t="n">
        <v>0</v>
      </c>
      <c r="BK20" s="152">
        <f>MAX(0,BH20+BI20-BJ20)</f>
        <v/>
      </c>
      <c r="BL20" s="152">
        <f>BO19</f>
        <v/>
      </c>
      <c r="BM20" s="159">
        <f>IF(BL20&gt;0.005,BL20*Debts!D23/12,0)</f>
        <v/>
      </c>
      <c r="BN20" s="159" t="n">
        <v>0</v>
      </c>
      <c r="BO20" s="152">
        <f>MAX(0,BL20+BM20-BN20)</f>
        <v/>
      </c>
      <c r="BP20" s="152">
        <f>BS19</f>
        <v/>
      </c>
      <c r="BQ20" s="159">
        <f>IF(BP20&gt;0.005,BP20*Debts!D24/12,0)</f>
        <v/>
      </c>
      <c r="BR20" s="159" t="n">
        <v>0</v>
      </c>
      <c r="BS20" s="152">
        <f>MAX(0,BP20+BQ20-BR20)</f>
        <v/>
      </c>
      <c r="BT20" s="152">
        <f>BW19</f>
        <v/>
      </c>
      <c r="BU20" s="159">
        <f>IF(BT20&gt;0.005,BT20*Debts!D25/12,0)</f>
        <v/>
      </c>
      <c r="BV20" s="159" t="n">
        <v>0</v>
      </c>
      <c r="BW20" s="152">
        <f>MAX(0,BT20+BU20-BV20)</f>
        <v/>
      </c>
      <c r="BX20" s="152">
        <f>CA19</f>
        <v/>
      </c>
      <c r="BY20" s="159">
        <f>IF(BX20&gt;0.005,BX20*Debts!D26/12,0)</f>
        <v/>
      </c>
      <c r="BZ20" s="159" t="n">
        <v>0</v>
      </c>
      <c r="CA20" s="152">
        <f>MAX(0,BX20+BY20-BZ20)</f>
        <v/>
      </c>
      <c r="CB20" s="152">
        <f>CE19</f>
        <v/>
      </c>
      <c r="CC20" s="159">
        <f>IF(CB20&gt;0.005,CB20*Debts!D27/12,0)</f>
        <v/>
      </c>
      <c r="CD20" s="159" t="n">
        <v>0</v>
      </c>
      <c r="CE20" s="152">
        <f>MAX(0,CB20+CC20-CD20)</f>
        <v/>
      </c>
      <c r="CF20" s="152">
        <f>G20+K20+O20+S20+W20+AA20+AE20+AI20+AM20+AQ20+AU20+AY20+BC20+BG20+BK20+BO20+BS20+BW20+CA20+CE20</f>
        <v/>
      </c>
      <c r="CG20" s="159">
        <f>E20+I20+M20+Q20+U20+Y20+AC20+AG20+AK20+AO20+AS20+AW20+BA20+BE20+BI20+BM20+BQ20+BU20+BY20+CC20</f>
        <v/>
      </c>
      <c r="CH20" s="152">
        <f>CH19+CG20</f>
        <v/>
      </c>
      <c r="CI20" s="148" t="n"/>
      <c r="CJ20" s="148" t="n"/>
    </row>
    <row r="21" ht="15" customHeight="1" s="83">
      <c r="A21" s="148" t="n"/>
      <c r="B21" s="158" t="n">
        <v>17</v>
      </c>
      <c r="C21" s="152">
        <f>F21+J21+N21+R21+V21+Z21+AD21+AH21+AL21+AP21+AT21+AX21+BB21+BF21+BJ21+BN21+BR21+BV21+BZ21+CD21</f>
        <v/>
      </c>
      <c r="D21" s="152">
        <f>G20</f>
        <v/>
      </c>
      <c r="E21" s="159">
        <f>IF(D21&gt;0.005,D21*Debts!D8/12,0)</f>
        <v/>
      </c>
      <c r="F21" s="159" t="n">
        <v>0</v>
      </c>
      <c r="G21" s="152">
        <f>MAX(0,D21+E21-F21)</f>
        <v/>
      </c>
      <c r="H21" s="152">
        <f>K20</f>
        <v/>
      </c>
      <c r="I21" s="159">
        <f>IF(H21&gt;0.005,H21*Debts!D9/12,0)</f>
        <v/>
      </c>
      <c r="J21" s="159" t="n">
        <v>0</v>
      </c>
      <c r="K21" s="152">
        <f>MAX(0,H21+I21-J21)</f>
        <v/>
      </c>
      <c r="L21" s="152">
        <f>O20</f>
        <v/>
      </c>
      <c r="M21" s="159">
        <f>IF(L21&gt;0.005,L21*Debts!D10/12,0)</f>
        <v/>
      </c>
      <c r="N21" s="159" t="n">
        <v>0</v>
      </c>
      <c r="O21" s="152">
        <f>MAX(0,L21+M21-N21)</f>
        <v/>
      </c>
      <c r="P21" s="152">
        <f>S20</f>
        <v/>
      </c>
      <c r="Q21" s="159">
        <f>IF(P21&gt;0.005,P21*Debts!D11/12,0)</f>
        <v/>
      </c>
      <c r="R21" s="159" t="n">
        <v>0</v>
      </c>
      <c r="S21" s="152">
        <f>MAX(0,P21+Q21-R21)</f>
        <v/>
      </c>
      <c r="T21" s="152">
        <f>W20</f>
        <v/>
      </c>
      <c r="U21" s="159">
        <f>IF(T21&gt;0.005,T21*Debts!D12/12,0)</f>
        <v/>
      </c>
      <c r="V21" s="159" t="n">
        <v>0</v>
      </c>
      <c r="W21" s="152">
        <f>MAX(0,T21+U21-V21)</f>
        <v/>
      </c>
      <c r="X21" s="152">
        <f>AA20</f>
        <v/>
      </c>
      <c r="Y21" s="159">
        <f>IF(X21&gt;0.005,X21*Debts!D13/12,0)</f>
        <v/>
      </c>
      <c r="Z21" s="159" t="n">
        <v>0</v>
      </c>
      <c r="AA21" s="152">
        <f>MAX(0,X21+Y21-Z21)</f>
        <v/>
      </c>
      <c r="AB21" s="152">
        <f>AE20</f>
        <v/>
      </c>
      <c r="AC21" s="159">
        <f>IF(AB21&gt;0.005,AB21*Debts!D14/12,0)</f>
        <v/>
      </c>
      <c r="AD21" s="159" t="n">
        <v>0</v>
      </c>
      <c r="AE21" s="152">
        <f>MAX(0,AB21+AC21-AD21)</f>
        <v/>
      </c>
      <c r="AF21" s="152">
        <f>AI20</f>
        <v/>
      </c>
      <c r="AG21" s="159">
        <f>IF(AF21&gt;0.005,AF21*Debts!D15/12,0)</f>
        <v/>
      </c>
      <c r="AH21" s="159" t="n">
        <v>0</v>
      </c>
      <c r="AI21" s="152">
        <f>MAX(0,AF21+AG21-AH21)</f>
        <v/>
      </c>
      <c r="AJ21" s="152">
        <f>AM20</f>
        <v/>
      </c>
      <c r="AK21" s="159">
        <f>IF(AJ21&gt;0.005,AJ21*Debts!D16/12,0)</f>
        <v/>
      </c>
      <c r="AL21" s="159" t="n">
        <v>0</v>
      </c>
      <c r="AM21" s="152">
        <f>MAX(0,AJ21+AK21-AL21)</f>
        <v/>
      </c>
      <c r="AN21" s="152">
        <f>AQ20</f>
        <v/>
      </c>
      <c r="AO21" s="159">
        <f>IF(AN21&gt;0.005,AN21*Debts!D17/12,0)</f>
        <v/>
      </c>
      <c r="AP21" s="159" t="n">
        <v>0</v>
      </c>
      <c r="AQ21" s="152">
        <f>MAX(0,AN21+AO21-AP21)</f>
        <v/>
      </c>
      <c r="AR21" s="152">
        <f>AU20</f>
        <v/>
      </c>
      <c r="AS21" s="159">
        <f>IF(AR21&gt;0.005,AR21*Debts!D18/12,0)</f>
        <v/>
      </c>
      <c r="AT21" s="159" t="n">
        <v>0</v>
      </c>
      <c r="AU21" s="152">
        <f>MAX(0,AR21+AS21-AT21)</f>
        <v/>
      </c>
      <c r="AV21" s="152">
        <f>AY20</f>
        <v/>
      </c>
      <c r="AW21" s="159">
        <f>IF(AV21&gt;0.005,AV21*Debts!D19/12,0)</f>
        <v/>
      </c>
      <c r="AX21" s="159" t="n">
        <v>0</v>
      </c>
      <c r="AY21" s="152">
        <f>MAX(0,AV21+AW21-AX21)</f>
        <v/>
      </c>
      <c r="AZ21" s="152">
        <f>BC20</f>
        <v/>
      </c>
      <c r="BA21" s="159">
        <f>IF(AZ21&gt;0.005,AZ21*Debts!D20/12,0)</f>
        <v/>
      </c>
      <c r="BB21" s="159" t="n">
        <v>0</v>
      </c>
      <c r="BC21" s="152">
        <f>MAX(0,AZ21+BA21-BB21)</f>
        <v/>
      </c>
      <c r="BD21" s="152">
        <f>BG20</f>
        <v/>
      </c>
      <c r="BE21" s="159">
        <f>IF(BD21&gt;0.005,BD21*Debts!D21/12,0)</f>
        <v/>
      </c>
      <c r="BF21" s="159" t="n">
        <v>0</v>
      </c>
      <c r="BG21" s="152">
        <f>MAX(0,BD21+BE21-BF21)</f>
        <v/>
      </c>
      <c r="BH21" s="152">
        <f>BK20</f>
        <v/>
      </c>
      <c r="BI21" s="159">
        <f>IF(BH21&gt;0.005,BH21*Debts!D22/12,0)</f>
        <v/>
      </c>
      <c r="BJ21" s="159" t="n">
        <v>0</v>
      </c>
      <c r="BK21" s="152">
        <f>MAX(0,BH21+BI21-BJ21)</f>
        <v/>
      </c>
      <c r="BL21" s="152">
        <f>BO20</f>
        <v/>
      </c>
      <c r="BM21" s="159">
        <f>IF(BL21&gt;0.005,BL21*Debts!D23/12,0)</f>
        <v/>
      </c>
      <c r="BN21" s="159" t="n">
        <v>0</v>
      </c>
      <c r="BO21" s="152">
        <f>MAX(0,BL21+BM21-BN21)</f>
        <v/>
      </c>
      <c r="BP21" s="152">
        <f>BS20</f>
        <v/>
      </c>
      <c r="BQ21" s="159">
        <f>IF(BP21&gt;0.005,BP21*Debts!D24/12,0)</f>
        <v/>
      </c>
      <c r="BR21" s="159" t="n">
        <v>0</v>
      </c>
      <c r="BS21" s="152">
        <f>MAX(0,BP21+BQ21-BR21)</f>
        <v/>
      </c>
      <c r="BT21" s="152">
        <f>BW20</f>
        <v/>
      </c>
      <c r="BU21" s="159">
        <f>IF(BT21&gt;0.005,BT21*Debts!D25/12,0)</f>
        <v/>
      </c>
      <c r="BV21" s="159" t="n">
        <v>0</v>
      </c>
      <c r="BW21" s="152">
        <f>MAX(0,BT21+BU21-BV21)</f>
        <v/>
      </c>
      <c r="BX21" s="152">
        <f>CA20</f>
        <v/>
      </c>
      <c r="BY21" s="159">
        <f>IF(BX21&gt;0.005,BX21*Debts!D26/12,0)</f>
        <v/>
      </c>
      <c r="BZ21" s="159" t="n">
        <v>0</v>
      </c>
      <c r="CA21" s="152">
        <f>MAX(0,BX21+BY21-BZ21)</f>
        <v/>
      </c>
      <c r="CB21" s="152">
        <f>CE20</f>
        <v/>
      </c>
      <c r="CC21" s="159">
        <f>IF(CB21&gt;0.005,CB21*Debts!D27/12,0)</f>
        <v/>
      </c>
      <c r="CD21" s="159" t="n">
        <v>0</v>
      </c>
      <c r="CE21" s="152">
        <f>MAX(0,CB21+CC21-CD21)</f>
        <v/>
      </c>
      <c r="CF21" s="152">
        <f>G21+K21+O21+S21+W21+AA21+AE21+AI21+AM21+AQ21+AU21+AY21+BC21+BG21+BK21+BO21+BS21+BW21+CA21+CE21</f>
        <v/>
      </c>
      <c r="CG21" s="159">
        <f>E21+I21+M21+Q21+U21+Y21+AC21+AG21+AK21+AO21+AS21+AW21+BA21+BE21+BI21+BM21+BQ21+BU21+BY21+CC21</f>
        <v/>
      </c>
      <c r="CH21" s="152">
        <f>CH20+CG21</f>
        <v/>
      </c>
      <c r="CI21" s="148" t="n"/>
      <c r="CJ21" s="148" t="n"/>
    </row>
    <row r="22" ht="15" customHeight="1" s="83">
      <c r="A22" s="148" t="n"/>
      <c r="B22" s="158" t="n">
        <v>18</v>
      </c>
      <c r="C22" s="152">
        <f>F22+J22+N22+R22+V22+Z22+AD22+AH22+AL22+AP22+AT22+AX22+BB22+BF22+BJ22+BN22+BR22+BV22+BZ22+CD22</f>
        <v/>
      </c>
      <c r="D22" s="152">
        <f>G21</f>
        <v/>
      </c>
      <c r="E22" s="159">
        <f>IF(D22&gt;0.005,D22*Debts!D8/12,0)</f>
        <v/>
      </c>
      <c r="F22" s="159" t="n">
        <v>0</v>
      </c>
      <c r="G22" s="152">
        <f>MAX(0,D22+E22-F22)</f>
        <v/>
      </c>
      <c r="H22" s="152">
        <f>K21</f>
        <v/>
      </c>
      <c r="I22" s="159">
        <f>IF(H22&gt;0.005,H22*Debts!D9/12,0)</f>
        <v/>
      </c>
      <c r="J22" s="159" t="n">
        <v>0</v>
      </c>
      <c r="K22" s="152">
        <f>MAX(0,H22+I22-J22)</f>
        <v/>
      </c>
      <c r="L22" s="152">
        <f>O21</f>
        <v/>
      </c>
      <c r="M22" s="159">
        <f>IF(L22&gt;0.005,L22*Debts!D10/12,0)</f>
        <v/>
      </c>
      <c r="N22" s="159" t="n">
        <v>0</v>
      </c>
      <c r="O22" s="152">
        <f>MAX(0,L22+M22-N22)</f>
        <v/>
      </c>
      <c r="P22" s="152">
        <f>S21</f>
        <v/>
      </c>
      <c r="Q22" s="159">
        <f>IF(P22&gt;0.005,P22*Debts!D11/12,0)</f>
        <v/>
      </c>
      <c r="R22" s="159" t="n">
        <v>0</v>
      </c>
      <c r="S22" s="152">
        <f>MAX(0,P22+Q22-R22)</f>
        <v/>
      </c>
      <c r="T22" s="152">
        <f>W21</f>
        <v/>
      </c>
      <c r="U22" s="159">
        <f>IF(T22&gt;0.005,T22*Debts!D12/12,0)</f>
        <v/>
      </c>
      <c r="V22" s="159" t="n">
        <v>0</v>
      </c>
      <c r="W22" s="152">
        <f>MAX(0,T22+U22-V22)</f>
        <v/>
      </c>
      <c r="X22" s="152">
        <f>AA21</f>
        <v/>
      </c>
      <c r="Y22" s="159">
        <f>IF(X22&gt;0.005,X22*Debts!D13/12,0)</f>
        <v/>
      </c>
      <c r="Z22" s="159" t="n">
        <v>0</v>
      </c>
      <c r="AA22" s="152">
        <f>MAX(0,X22+Y22-Z22)</f>
        <v/>
      </c>
      <c r="AB22" s="152">
        <f>AE21</f>
        <v/>
      </c>
      <c r="AC22" s="159">
        <f>IF(AB22&gt;0.005,AB22*Debts!D14/12,0)</f>
        <v/>
      </c>
      <c r="AD22" s="159" t="n">
        <v>0</v>
      </c>
      <c r="AE22" s="152">
        <f>MAX(0,AB22+AC22-AD22)</f>
        <v/>
      </c>
      <c r="AF22" s="152">
        <f>AI21</f>
        <v/>
      </c>
      <c r="AG22" s="159">
        <f>IF(AF22&gt;0.005,AF22*Debts!D15/12,0)</f>
        <v/>
      </c>
      <c r="AH22" s="159" t="n">
        <v>0</v>
      </c>
      <c r="AI22" s="152">
        <f>MAX(0,AF22+AG22-AH22)</f>
        <v/>
      </c>
      <c r="AJ22" s="152">
        <f>AM21</f>
        <v/>
      </c>
      <c r="AK22" s="159">
        <f>IF(AJ22&gt;0.005,AJ22*Debts!D16/12,0)</f>
        <v/>
      </c>
      <c r="AL22" s="159" t="n">
        <v>0</v>
      </c>
      <c r="AM22" s="152">
        <f>MAX(0,AJ22+AK22-AL22)</f>
        <v/>
      </c>
      <c r="AN22" s="152">
        <f>AQ21</f>
        <v/>
      </c>
      <c r="AO22" s="159">
        <f>IF(AN22&gt;0.005,AN22*Debts!D17/12,0)</f>
        <v/>
      </c>
      <c r="AP22" s="159" t="n">
        <v>0</v>
      </c>
      <c r="AQ22" s="152">
        <f>MAX(0,AN22+AO22-AP22)</f>
        <v/>
      </c>
      <c r="AR22" s="152">
        <f>AU21</f>
        <v/>
      </c>
      <c r="AS22" s="159">
        <f>IF(AR22&gt;0.005,AR22*Debts!D18/12,0)</f>
        <v/>
      </c>
      <c r="AT22" s="159" t="n">
        <v>0</v>
      </c>
      <c r="AU22" s="152">
        <f>MAX(0,AR22+AS22-AT22)</f>
        <v/>
      </c>
      <c r="AV22" s="152">
        <f>AY21</f>
        <v/>
      </c>
      <c r="AW22" s="159">
        <f>IF(AV22&gt;0.005,AV22*Debts!D19/12,0)</f>
        <v/>
      </c>
      <c r="AX22" s="159" t="n">
        <v>0</v>
      </c>
      <c r="AY22" s="152">
        <f>MAX(0,AV22+AW22-AX22)</f>
        <v/>
      </c>
      <c r="AZ22" s="152">
        <f>BC21</f>
        <v/>
      </c>
      <c r="BA22" s="159">
        <f>IF(AZ22&gt;0.005,AZ22*Debts!D20/12,0)</f>
        <v/>
      </c>
      <c r="BB22" s="159" t="n">
        <v>0</v>
      </c>
      <c r="BC22" s="152">
        <f>MAX(0,AZ22+BA22-BB22)</f>
        <v/>
      </c>
      <c r="BD22" s="152">
        <f>BG21</f>
        <v/>
      </c>
      <c r="BE22" s="159">
        <f>IF(BD22&gt;0.005,BD22*Debts!D21/12,0)</f>
        <v/>
      </c>
      <c r="BF22" s="159" t="n">
        <v>0</v>
      </c>
      <c r="BG22" s="152">
        <f>MAX(0,BD22+BE22-BF22)</f>
        <v/>
      </c>
      <c r="BH22" s="152">
        <f>BK21</f>
        <v/>
      </c>
      <c r="BI22" s="159">
        <f>IF(BH22&gt;0.005,BH22*Debts!D22/12,0)</f>
        <v/>
      </c>
      <c r="BJ22" s="159" t="n">
        <v>0</v>
      </c>
      <c r="BK22" s="152">
        <f>MAX(0,BH22+BI22-BJ22)</f>
        <v/>
      </c>
      <c r="BL22" s="152">
        <f>BO21</f>
        <v/>
      </c>
      <c r="BM22" s="159">
        <f>IF(BL22&gt;0.005,BL22*Debts!D23/12,0)</f>
        <v/>
      </c>
      <c r="BN22" s="159" t="n">
        <v>0</v>
      </c>
      <c r="BO22" s="152">
        <f>MAX(0,BL22+BM22-BN22)</f>
        <v/>
      </c>
      <c r="BP22" s="152">
        <f>BS21</f>
        <v/>
      </c>
      <c r="BQ22" s="159">
        <f>IF(BP22&gt;0.005,BP22*Debts!D24/12,0)</f>
        <v/>
      </c>
      <c r="BR22" s="159" t="n">
        <v>0</v>
      </c>
      <c r="BS22" s="152">
        <f>MAX(0,BP22+BQ22-BR22)</f>
        <v/>
      </c>
      <c r="BT22" s="152">
        <f>BW21</f>
        <v/>
      </c>
      <c r="BU22" s="159">
        <f>IF(BT22&gt;0.005,BT22*Debts!D25/12,0)</f>
        <v/>
      </c>
      <c r="BV22" s="159" t="n">
        <v>0</v>
      </c>
      <c r="BW22" s="152">
        <f>MAX(0,BT22+BU22-BV22)</f>
        <v/>
      </c>
      <c r="BX22" s="152">
        <f>CA21</f>
        <v/>
      </c>
      <c r="BY22" s="159">
        <f>IF(BX22&gt;0.005,BX22*Debts!D26/12,0)</f>
        <v/>
      </c>
      <c r="BZ22" s="159" t="n">
        <v>0</v>
      </c>
      <c r="CA22" s="152">
        <f>MAX(0,BX22+BY22-BZ22)</f>
        <v/>
      </c>
      <c r="CB22" s="152">
        <f>CE21</f>
        <v/>
      </c>
      <c r="CC22" s="159">
        <f>IF(CB22&gt;0.005,CB22*Debts!D27/12,0)</f>
        <v/>
      </c>
      <c r="CD22" s="159" t="n">
        <v>0</v>
      </c>
      <c r="CE22" s="152">
        <f>MAX(0,CB22+CC22-CD22)</f>
        <v/>
      </c>
      <c r="CF22" s="152">
        <f>G22+K22+O22+S22+W22+AA22+AE22+AI22+AM22+AQ22+AU22+AY22+BC22+BG22+BK22+BO22+BS22+BW22+CA22+CE22</f>
        <v/>
      </c>
      <c r="CG22" s="159">
        <f>E22+I22+M22+Q22+U22+Y22+AC22+AG22+AK22+AO22+AS22+AW22+BA22+BE22+BI22+BM22+BQ22+BU22+BY22+CC22</f>
        <v/>
      </c>
      <c r="CH22" s="152">
        <f>CH21+CG22</f>
        <v/>
      </c>
      <c r="CI22" s="148" t="n"/>
      <c r="CJ22" s="148" t="n"/>
    </row>
    <row r="23" ht="15" customHeight="1" s="83">
      <c r="A23" s="148" t="n"/>
      <c r="B23" s="158" t="n">
        <v>19</v>
      </c>
      <c r="C23" s="152">
        <f>F23+J23+N23+R23+V23+Z23+AD23+AH23+AL23+AP23+AT23+AX23+BB23+BF23+BJ23+BN23+BR23+BV23+BZ23+CD23</f>
        <v/>
      </c>
      <c r="D23" s="152">
        <f>G22</f>
        <v/>
      </c>
      <c r="E23" s="159">
        <f>IF(D23&gt;0.005,D23*Debts!D8/12,0)</f>
        <v/>
      </c>
      <c r="F23" s="159" t="n">
        <v>0</v>
      </c>
      <c r="G23" s="152">
        <f>MAX(0,D23+E23-F23)</f>
        <v/>
      </c>
      <c r="H23" s="152">
        <f>K22</f>
        <v/>
      </c>
      <c r="I23" s="159">
        <f>IF(H23&gt;0.005,H23*Debts!D9/12,0)</f>
        <v/>
      </c>
      <c r="J23" s="159" t="n">
        <v>0</v>
      </c>
      <c r="K23" s="152">
        <f>MAX(0,H23+I23-J23)</f>
        <v/>
      </c>
      <c r="L23" s="152">
        <f>O22</f>
        <v/>
      </c>
      <c r="M23" s="159">
        <f>IF(L23&gt;0.005,L23*Debts!D10/12,0)</f>
        <v/>
      </c>
      <c r="N23" s="159" t="n">
        <v>0</v>
      </c>
      <c r="O23" s="152">
        <f>MAX(0,L23+M23-N23)</f>
        <v/>
      </c>
      <c r="P23" s="152">
        <f>S22</f>
        <v/>
      </c>
      <c r="Q23" s="159">
        <f>IF(P23&gt;0.005,P23*Debts!D11/12,0)</f>
        <v/>
      </c>
      <c r="R23" s="159" t="n">
        <v>0</v>
      </c>
      <c r="S23" s="152">
        <f>MAX(0,P23+Q23-R23)</f>
        <v/>
      </c>
      <c r="T23" s="152">
        <f>W22</f>
        <v/>
      </c>
      <c r="U23" s="159">
        <f>IF(T23&gt;0.005,T23*Debts!D12/12,0)</f>
        <v/>
      </c>
      <c r="V23" s="159" t="n">
        <v>0</v>
      </c>
      <c r="W23" s="152">
        <f>MAX(0,T23+U23-V23)</f>
        <v/>
      </c>
      <c r="X23" s="152">
        <f>AA22</f>
        <v/>
      </c>
      <c r="Y23" s="159">
        <f>IF(X23&gt;0.005,X23*Debts!D13/12,0)</f>
        <v/>
      </c>
      <c r="Z23" s="159" t="n">
        <v>0</v>
      </c>
      <c r="AA23" s="152">
        <f>MAX(0,X23+Y23-Z23)</f>
        <v/>
      </c>
      <c r="AB23" s="152">
        <f>AE22</f>
        <v/>
      </c>
      <c r="AC23" s="159">
        <f>IF(AB23&gt;0.005,AB23*Debts!D14/12,0)</f>
        <v/>
      </c>
      <c r="AD23" s="159" t="n">
        <v>0</v>
      </c>
      <c r="AE23" s="152">
        <f>MAX(0,AB23+AC23-AD23)</f>
        <v/>
      </c>
      <c r="AF23" s="152">
        <f>AI22</f>
        <v/>
      </c>
      <c r="AG23" s="159">
        <f>IF(AF23&gt;0.005,AF23*Debts!D15/12,0)</f>
        <v/>
      </c>
      <c r="AH23" s="159" t="n">
        <v>0</v>
      </c>
      <c r="AI23" s="152">
        <f>MAX(0,AF23+AG23-AH23)</f>
        <v/>
      </c>
      <c r="AJ23" s="152">
        <f>AM22</f>
        <v/>
      </c>
      <c r="AK23" s="159">
        <f>IF(AJ23&gt;0.005,AJ23*Debts!D16/12,0)</f>
        <v/>
      </c>
      <c r="AL23" s="159" t="n">
        <v>0</v>
      </c>
      <c r="AM23" s="152">
        <f>MAX(0,AJ23+AK23-AL23)</f>
        <v/>
      </c>
      <c r="AN23" s="152">
        <f>AQ22</f>
        <v/>
      </c>
      <c r="AO23" s="159">
        <f>IF(AN23&gt;0.005,AN23*Debts!D17/12,0)</f>
        <v/>
      </c>
      <c r="AP23" s="159" t="n">
        <v>0</v>
      </c>
      <c r="AQ23" s="152">
        <f>MAX(0,AN23+AO23-AP23)</f>
        <v/>
      </c>
      <c r="AR23" s="152">
        <f>AU22</f>
        <v/>
      </c>
      <c r="AS23" s="159">
        <f>IF(AR23&gt;0.005,AR23*Debts!D18/12,0)</f>
        <v/>
      </c>
      <c r="AT23" s="159" t="n">
        <v>0</v>
      </c>
      <c r="AU23" s="152">
        <f>MAX(0,AR23+AS23-AT23)</f>
        <v/>
      </c>
      <c r="AV23" s="152">
        <f>AY22</f>
        <v/>
      </c>
      <c r="AW23" s="159">
        <f>IF(AV23&gt;0.005,AV23*Debts!D19/12,0)</f>
        <v/>
      </c>
      <c r="AX23" s="159" t="n">
        <v>0</v>
      </c>
      <c r="AY23" s="152">
        <f>MAX(0,AV23+AW23-AX23)</f>
        <v/>
      </c>
      <c r="AZ23" s="152">
        <f>BC22</f>
        <v/>
      </c>
      <c r="BA23" s="159">
        <f>IF(AZ23&gt;0.005,AZ23*Debts!D20/12,0)</f>
        <v/>
      </c>
      <c r="BB23" s="159" t="n">
        <v>0</v>
      </c>
      <c r="BC23" s="152">
        <f>MAX(0,AZ23+BA23-BB23)</f>
        <v/>
      </c>
      <c r="BD23" s="152">
        <f>BG22</f>
        <v/>
      </c>
      <c r="BE23" s="159">
        <f>IF(BD23&gt;0.005,BD23*Debts!D21/12,0)</f>
        <v/>
      </c>
      <c r="BF23" s="159" t="n">
        <v>0</v>
      </c>
      <c r="BG23" s="152">
        <f>MAX(0,BD23+BE23-BF23)</f>
        <v/>
      </c>
      <c r="BH23" s="152">
        <f>BK22</f>
        <v/>
      </c>
      <c r="BI23" s="159">
        <f>IF(BH23&gt;0.005,BH23*Debts!D22/12,0)</f>
        <v/>
      </c>
      <c r="BJ23" s="159" t="n">
        <v>0</v>
      </c>
      <c r="BK23" s="152">
        <f>MAX(0,BH23+BI23-BJ23)</f>
        <v/>
      </c>
      <c r="BL23" s="152">
        <f>BO22</f>
        <v/>
      </c>
      <c r="BM23" s="159">
        <f>IF(BL23&gt;0.005,BL23*Debts!D23/12,0)</f>
        <v/>
      </c>
      <c r="BN23" s="159" t="n">
        <v>0</v>
      </c>
      <c r="BO23" s="152">
        <f>MAX(0,BL23+BM23-BN23)</f>
        <v/>
      </c>
      <c r="BP23" s="152">
        <f>BS22</f>
        <v/>
      </c>
      <c r="BQ23" s="159">
        <f>IF(BP23&gt;0.005,BP23*Debts!D24/12,0)</f>
        <v/>
      </c>
      <c r="BR23" s="159" t="n">
        <v>0</v>
      </c>
      <c r="BS23" s="152">
        <f>MAX(0,BP23+BQ23-BR23)</f>
        <v/>
      </c>
      <c r="BT23" s="152">
        <f>BW22</f>
        <v/>
      </c>
      <c r="BU23" s="159">
        <f>IF(BT23&gt;0.005,BT23*Debts!D25/12,0)</f>
        <v/>
      </c>
      <c r="BV23" s="159" t="n">
        <v>0</v>
      </c>
      <c r="BW23" s="152">
        <f>MAX(0,BT23+BU23-BV23)</f>
        <v/>
      </c>
      <c r="BX23" s="152">
        <f>CA22</f>
        <v/>
      </c>
      <c r="BY23" s="159">
        <f>IF(BX23&gt;0.005,BX23*Debts!D26/12,0)</f>
        <v/>
      </c>
      <c r="BZ23" s="159" t="n">
        <v>0</v>
      </c>
      <c r="CA23" s="152">
        <f>MAX(0,BX23+BY23-BZ23)</f>
        <v/>
      </c>
      <c r="CB23" s="152">
        <f>CE22</f>
        <v/>
      </c>
      <c r="CC23" s="159">
        <f>IF(CB23&gt;0.005,CB23*Debts!D27/12,0)</f>
        <v/>
      </c>
      <c r="CD23" s="159" t="n">
        <v>0</v>
      </c>
      <c r="CE23" s="152">
        <f>MAX(0,CB23+CC23-CD23)</f>
        <v/>
      </c>
      <c r="CF23" s="152">
        <f>G23+K23+O23+S23+W23+AA23+AE23+AI23+AM23+AQ23+AU23+AY23+BC23+BG23+BK23+BO23+BS23+BW23+CA23+CE23</f>
        <v/>
      </c>
      <c r="CG23" s="159">
        <f>E23+I23+M23+Q23+U23+Y23+AC23+AG23+AK23+AO23+AS23+AW23+BA23+BE23+BI23+BM23+BQ23+BU23+BY23+CC23</f>
        <v/>
      </c>
      <c r="CH23" s="152">
        <f>CH22+CG23</f>
        <v/>
      </c>
      <c r="CI23" s="148" t="n"/>
      <c r="CJ23" s="148" t="n"/>
    </row>
    <row r="24" ht="15" customHeight="1" s="83">
      <c r="A24" s="148" t="n"/>
      <c r="B24" s="158" t="n">
        <v>20</v>
      </c>
      <c r="C24" s="152">
        <f>F24+J24+N24+R24+V24+Z24+AD24+AH24+AL24+AP24+AT24+AX24+BB24+BF24+BJ24+BN24+BR24+BV24+BZ24+CD24</f>
        <v/>
      </c>
      <c r="D24" s="152">
        <f>G23</f>
        <v/>
      </c>
      <c r="E24" s="159">
        <f>IF(D24&gt;0.005,D24*Debts!D8/12,0)</f>
        <v/>
      </c>
      <c r="F24" s="159" t="n">
        <v>0</v>
      </c>
      <c r="G24" s="152">
        <f>MAX(0,D24+E24-F24)</f>
        <v/>
      </c>
      <c r="H24" s="152">
        <f>K23</f>
        <v/>
      </c>
      <c r="I24" s="159">
        <f>IF(H24&gt;0.005,H24*Debts!D9/12,0)</f>
        <v/>
      </c>
      <c r="J24" s="159" t="n">
        <v>0</v>
      </c>
      <c r="K24" s="152">
        <f>MAX(0,H24+I24-J24)</f>
        <v/>
      </c>
      <c r="L24" s="152">
        <f>O23</f>
        <v/>
      </c>
      <c r="M24" s="159">
        <f>IF(L24&gt;0.005,L24*Debts!D10/12,0)</f>
        <v/>
      </c>
      <c r="N24" s="159" t="n">
        <v>0</v>
      </c>
      <c r="O24" s="152">
        <f>MAX(0,L24+M24-N24)</f>
        <v/>
      </c>
      <c r="P24" s="152">
        <f>S23</f>
        <v/>
      </c>
      <c r="Q24" s="159">
        <f>IF(P24&gt;0.005,P24*Debts!D11/12,0)</f>
        <v/>
      </c>
      <c r="R24" s="159" t="n">
        <v>0</v>
      </c>
      <c r="S24" s="152">
        <f>MAX(0,P24+Q24-R24)</f>
        <v/>
      </c>
      <c r="T24" s="152">
        <f>W23</f>
        <v/>
      </c>
      <c r="U24" s="159">
        <f>IF(T24&gt;0.005,T24*Debts!D12/12,0)</f>
        <v/>
      </c>
      <c r="V24" s="159" t="n">
        <v>0</v>
      </c>
      <c r="W24" s="152">
        <f>MAX(0,T24+U24-V24)</f>
        <v/>
      </c>
      <c r="X24" s="152">
        <f>AA23</f>
        <v/>
      </c>
      <c r="Y24" s="159">
        <f>IF(X24&gt;0.005,X24*Debts!D13/12,0)</f>
        <v/>
      </c>
      <c r="Z24" s="159" t="n">
        <v>0</v>
      </c>
      <c r="AA24" s="152">
        <f>MAX(0,X24+Y24-Z24)</f>
        <v/>
      </c>
      <c r="AB24" s="152">
        <f>AE23</f>
        <v/>
      </c>
      <c r="AC24" s="159">
        <f>IF(AB24&gt;0.005,AB24*Debts!D14/12,0)</f>
        <v/>
      </c>
      <c r="AD24" s="159" t="n">
        <v>0</v>
      </c>
      <c r="AE24" s="152">
        <f>MAX(0,AB24+AC24-AD24)</f>
        <v/>
      </c>
      <c r="AF24" s="152">
        <f>AI23</f>
        <v/>
      </c>
      <c r="AG24" s="159">
        <f>IF(AF24&gt;0.005,AF24*Debts!D15/12,0)</f>
        <v/>
      </c>
      <c r="AH24" s="159" t="n">
        <v>0</v>
      </c>
      <c r="AI24" s="152">
        <f>MAX(0,AF24+AG24-AH24)</f>
        <v/>
      </c>
      <c r="AJ24" s="152">
        <f>AM23</f>
        <v/>
      </c>
      <c r="AK24" s="159">
        <f>IF(AJ24&gt;0.005,AJ24*Debts!D16/12,0)</f>
        <v/>
      </c>
      <c r="AL24" s="159" t="n">
        <v>0</v>
      </c>
      <c r="AM24" s="152">
        <f>MAX(0,AJ24+AK24-AL24)</f>
        <v/>
      </c>
      <c r="AN24" s="152">
        <f>AQ23</f>
        <v/>
      </c>
      <c r="AO24" s="159">
        <f>IF(AN24&gt;0.005,AN24*Debts!D17/12,0)</f>
        <v/>
      </c>
      <c r="AP24" s="159" t="n">
        <v>0</v>
      </c>
      <c r="AQ24" s="152">
        <f>MAX(0,AN24+AO24-AP24)</f>
        <v/>
      </c>
      <c r="AR24" s="152">
        <f>AU23</f>
        <v/>
      </c>
      <c r="AS24" s="159">
        <f>IF(AR24&gt;0.005,AR24*Debts!D18/12,0)</f>
        <v/>
      </c>
      <c r="AT24" s="159" t="n">
        <v>0</v>
      </c>
      <c r="AU24" s="152">
        <f>MAX(0,AR24+AS24-AT24)</f>
        <v/>
      </c>
      <c r="AV24" s="152">
        <f>AY23</f>
        <v/>
      </c>
      <c r="AW24" s="159">
        <f>IF(AV24&gt;0.005,AV24*Debts!D19/12,0)</f>
        <v/>
      </c>
      <c r="AX24" s="159" t="n">
        <v>0</v>
      </c>
      <c r="AY24" s="152">
        <f>MAX(0,AV24+AW24-AX24)</f>
        <v/>
      </c>
      <c r="AZ24" s="152">
        <f>BC23</f>
        <v/>
      </c>
      <c r="BA24" s="159">
        <f>IF(AZ24&gt;0.005,AZ24*Debts!D20/12,0)</f>
        <v/>
      </c>
      <c r="BB24" s="159" t="n">
        <v>0</v>
      </c>
      <c r="BC24" s="152">
        <f>MAX(0,AZ24+BA24-BB24)</f>
        <v/>
      </c>
      <c r="BD24" s="152">
        <f>BG23</f>
        <v/>
      </c>
      <c r="BE24" s="159">
        <f>IF(BD24&gt;0.005,BD24*Debts!D21/12,0)</f>
        <v/>
      </c>
      <c r="BF24" s="159" t="n">
        <v>0</v>
      </c>
      <c r="BG24" s="152">
        <f>MAX(0,BD24+BE24-BF24)</f>
        <v/>
      </c>
      <c r="BH24" s="152">
        <f>BK23</f>
        <v/>
      </c>
      <c r="BI24" s="159">
        <f>IF(BH24&gt;0.005,BH24*Debts!D22/12,0)</f>
        <v/>
      </c>
      <c r="BJ24" s="159" t="n">
        <v>0</v>
      </c>
      <c r="BK24" s="152">
        <f>MAX(0,BH24+BI24-BJ24)</f>
        <v/>
      </c>
      <c r="BL24" s="152">
        <f>BO23</f>
        <v/>
      </c>
      <c r="BM24" s="159">
        <f>IF(BL24&gt;0.005,BL24*Debts!D23/12,0)</f>
        <v/>
      </c>
      <c r="BN24" s="159" t="n">
        <v>0</v>
      </c>
      <c r="BO24" s="152">
        <f>MAX(0,BL24+BM24-BN24)</f>
        <v/>
      </c>
      <c r="BP24" s="152">
        <f>BS23</f>
        <v/>
      </c>
      <c r="BQ24" s="159">
        <f>IF(BP24&gt;0.005,BP24*Debts!D24/12,0)</f>
        <v/>
      </c>
      <c r="BR24" s="159" t="n">
        <v>0</v>
      </c>
      <c r="BS24" s="152">
        <f>MAX(0,BP24+BQ24-BR24)</f>
        <v/>
      </c>
      <c r="BT24" s="152">
        <f>BW23</f>
        <v/>
      </c>
      <c r="BU24" s="159">
        <f>IF(BT24&gt;0.005,BT24*Debts!D25/12,0)</f>
        <v/>
      </c>
      <c r="BV24" s="159" t="n">
        <v>0</v>
      </c>
      <c r="BW24" s="152">
        <f>MAX(0,BT24+BU24-BV24)</f>
        <v/>
      </c>
      <c r="BX24" s="152">
        <f>CA23</f>
        <v/>
      </c>
      <c r="BY24" s="159">
        <f>IF(BX24&gt;0.005,BX24*Debts!D26/12,0)</f>
        <v/>
      </c>
      <c r="BZ24" s="159" t="n">
        <v>0</v>
      </c>
      <c r="CA24" s="152">
        <f>MAX(0,BX24+BY24-BZ24)</f>
        <v/>
      </c>
      <c r="CB24" s="152">
        <f>CE23</f>
        <v/>
      </c>
      <c r="CC24" s="159">
        <f>IF(CB24&gt;0.005,CB24*Debts!D27/12,0)</f>
        <v/>
      </c>
      <c r="CD24" s="159" t="n">
        <v>0</v>
      </c>
      <c r="CE24" s="152">
        <f>MAX(0,CB24+CC24-CD24)</f>
        <v/>
      </c>
      <c r="CF24" s="152">
        <f>G24+K24+O24+S24+W24+AA24+AE24+AI24+AM24+AQ24+AU24+AY24+BC24+BG24+BK24+BO24+BS24+BW24+CA24+CE24</f>
        <v/>
      </c>
      <c r="CG24" s="159">
        <f>E24+I24+M24+Q24+U24+Y24+AC24+AG24+AK24+AO24+AS24+AW24+BA24+BE24+BI24+BM24+BQ24+BU24+BY24+CC24</f>
        <v/>
      </c>
      <c r="CH24" s="152">
        <f>CH23+CG24</f>
        <v/>
      </c>
      <c r="CI24" s="148" t="n"/>
      <c r="CJ24" s="148" t="n"/>
    </row>
    <row r="25" ht="15" customHeight="1" s="83">
      <c r="A25" s="148" t="n"/>
      <c r="B25" s="158" t="n">
        <v>21</v>
      </c>
      <c r="C25" s="152">
        <f>F25+J25+N25+R25+V25+Z25+AD25+AH25+AL25+AP25+AT25+AX25+BB25+BF25+BJ25+BN25+BR25+BV25+BZ25+CD25</f>
        <v/>
      </c>
      <c r="D25" s="152">
        <f>G24</f>
        <v/>
      </c>
      <c r="E25" s="159">
        <f>IF(D25&gt;0.005,D25*Debts!D8/12,0)</f>
        <v/>
      </c>
      <c r="F25" s="159" t="n">
        <v>0</v>
      </c>
      <c r="G25" s="152">
        <f>MAX(0,D25+E25-F25)</f>
        <v/>
      </c>
      <c r="H25" s="152">
        <f>K24</f>
        <v/>
      </c>
      <c r="I25" s="159">
        <f>IF(H25&gt;0.005,H25*Debts!D9/12,0)</f>
        <v/>
      </c>
      <c r="J25" s="159" t="n">
        <v>0</v>
      </c>
      <c r="K25" s="152">
        <f>MAX(0,H25+I25-J25)</f>
        <v/>
      </c>
      <c r="L25" s="152">
        <f>O24</f>
        <v/>
      </c>
      <c r="M25" s="159">
        <f>IF(L25&gt;0.005,L25*Debts!D10/12,0)</f>
        <v/>
      </c>
      <c r="N25" s="159" t="n">
        <v>0</v>
      </c>
      <c r="O25" s="152">
        <f>MAX(0,L25+M25-N25)</f>
        <v/>
      </c>
      <c r="P25" s="152">
        <f>S24</f>
        <v/>
      </c>
      <c r="Q25" s="159">
        <f>IF(P25&gt;0.005,P25*Debts!D11/12,0)</f>
        <v/>
      </c>
      <c r="R25" s="159" t="n">
        <v>0</v>
      </c>
      <c r="S25" s="152">
        <f>MAX(0,P25+Q25-R25)</f>
        <v/>
      </c>
      <c r="T25" s="152">
        <f>W24</f>
        <v/>
      </c>
      <c r="U25" s="159">
        <f>IF(T25&gt;0.005,T25*Debts!D12/12,0)</f>
        <v/>
      </c>
      <c r="V25" s="159" t="n">
        <v>0</v>
      </c>
      <c r="W25" s="152">
        <f>MAX(0,T25+U25-V25)</f>
        <v/>
      </c>
      <c r="X25" s="152">
        <f>AA24</f>
        <v/>
      </c>
      <c r="Y25" s="159">
        <f>IF(X25&gt;0.005,X25*Debts!D13/12,0)</f>
        <v/>
      </c>
      <c r="Z25" s="159" t="n">
        <v>0</v>
      </c>
      <c r="AA25" s="152">
        <f>MAX(0,X25+Y25-Z25)</f>
        <v/>
      </c>
      <c r="AB25" s="152">
        <f>AE24</f>
        <v/>
      </c>
      <c r="AC25" s="159">
        <f>IF(AB25&gt;0.005,AB25*Debts!D14/12,0)</f>
        <v/>
      </c>
      <c r="AD25" s="159" t="n">
        <v>0</v>
      </c>
      <c r="AE25" s="152">
        <f>MAX(0,AB25+AC25-AD25)</f>
        <v/>
      </c>
      <c r="AF25" s="152">
        <f>AI24</f>
        <v/>
      </c>
      <c r="AG25" s="159">
        <f>IF(AF25&gt;0.005,AF25*Debts!D15/12,0)</f>
        <v/>
      </c>
      <c r="AH25" s="159" t="n">
        <v>0</v>
      </c>
      <c r="AI25" s="152">
        <f>MAX(0,AF25+AG25-AH25)</f>
        <v/>
      </c>
      <c r="AJ25" s="152">
        <f>AM24</f>
        <v/>
      </c>
      <c r="AK25" s="159">
        <f>IF(AJ25&gt;0.005,AJ25*Debts!D16/12,0)</f>
        <v/>
      </c>
      <c r="AL25" s="159" t="n">
        <v>0</v>
      </c>
      <c r="AM25" s="152">
        <f>MAX(0,AJ25+AK25-AL25)</f>
        <v/>
      </c>
      <c r="AN25" s="152">
        <f>AQ24</f>
        <v/>
      </c>
      <c r="AO25" s="159">
        <f>IF(AN25&gt;0.005,AN25*Debts!D17/12,0)</f>
        <v/>
      </c>
      <c r="AP25" s="159" t="n">
        <v>0</v>
      </c>
      <c r="AQ25" s="152">
        <f>MAX(0,AN25+AO25-AP25)</f>
        <v/>
      </c>
      <c r="AR25" s="152">
        <f>AU24</f>
        <v/>
      </c>
      <c r="AS25" s="159">
        <f>IF(AR25&gt;0.005,AR25*Debts!D18/12,0)</f>
        <v/>
      </c>
      <c r="AT25" s="159" t="n">
        <v>0</v>
      </c>
      <c r="AU25" s="152">
        <f>MAX(0,AR25+AS25-AT25)</f>
        <v/>
      </c>
      <c r="AV25" s="152">
        <f>AY24</f>
        <v/>
      </c>
      <c r="AW25" s="159">
        <f>IF(AV25&gt;0.005,AV25*Debts!D19/12,0)</f>
        <v/>
      </c>
      <c r="AX25" s="159" t="n">
        <v>0</v>
      </c>
      <c r="AY25" s="152">
        <f>MAX(0,AV25+AW25-AX25)</f>
        <v/>
      </c>
      <c r="AZ25" s="152">
        <f>BC24</f>
        <v/>
      </c>
      <c r="BA25" s="159">
        <f>IF(AZ25&gt;0.005,AZ25*Debts!D20/12,0)</f>
        <v/>
      </c>
      <c r="BB25" s="159" t="n">
        <v>0</v>
      </c>
      <c r="BC25" s="152">
        <f>MAX(0,AZ25+BA25-BB25)</f>
        <v/>
      </c>
      <c r="BD25" s="152">
        <f>BG24</f>
        <v/>
      </c>
      <c r="BE25" s="159">
        <f>IF(BD25&gt;0.005,BD25*Debts!D21/12,0)</f>
        <v/>
      </c>
      <c r="BF25" s="159" t="n">
        <v>0</v>
      </c>
      <c r="BG25" s="152">
        <f>MAX(0,BD25+BE25-BF25)</f>
        <v/>
      </c>
      <c r="BH25" s="152">
        <f>BK24</f>
        <v/>
      </c>
      <c r="BI25" s="159">
        <f>IF(BH25&gt;0.005,BH25*Debts!D22/12,0)</f>
        <v/>
      </c>
      <c r="BJ25" s="159" t="n">
        <v>0</v>
      </c>
      <c r="BK25" s="152">
        <f>MAX(0,BH25+BI25-BJ25)</f>
        <v/>
      </c>
      <c r="BL25" s="152">
        <f>BO24</f>
        <v/>
      </c>
      <c r="BM25" s="159">
        <f>IF(BL25&gt;0.005,BL25*Debts!D23/12,0)</f>
        <v/>
      </c>
      <c r="BN25" s="159" t="n">
        <v>0</v>
      </c>
      <c r="BO25" s="152">
        <f>MAX(0,BL25+BM25-BN25)</f>
        <v/>
      </c>
      <c r="BP25" s="152">
        <f>BS24</f>
        <v/>
      </c>
      <c r="BQ25" s="159">
        <f>IF(BP25&gt;0.005,BP25*Debts!D24/12,0)</f>
        <v/>
      </c>
      <c r="BR25" s="159" t="n">
        <v>0</v>
      </c>
      <c r="BS25" s="152">
        <f>MAX(0,BP25+BQ25-BR25)</f>
        <v/>
      </c>
      <c r="BT25" s="152">
        <f>BW24</f>
        <v/>
      </c>
      <c r="BU25" s="159">
        <f>IF(BT25&gt;0.005,BT25*Debts!D25/12,0)</f>
        <v/>
      </c>
      <c r="BV25" s="159" t="n">
        <v>0</v>
      </c>
      <c r="BW25" s="152">
        <f>MAX(0,BT25+BU25-BV25)</f>
        <v/>
      </c>
      <c r="BX25" s="152">
        <f>CA24</f>
        <v/>
      </c>
      <c r="BY25" s="159">
        <f>IF(BX25&gt;0.005,BX25*Debts!D26/12,0)</f>
        <v/>
      </c>
      <c r="BZ25" s="159" t="n">
        <v>0</v>
      </c>
      <c r="CA25" s="152">
        <f>MAX(0,BX25+BY25-BZ25)</f>
        <v/>
      </c>
      <c r="CB25" s="152">
        <f>CE24</f>
        <v/>
      </c>
      <c r="CC25" s="159">
        <f>IF(CB25&gt;0.005,CB25*Debts!D27/12,0)</f>
        <v/>
      </c>
      <c r="CD25" s="159" t="n">
        <v>0</v>
      </c>
      <c r="CE25" s="152">
        <f>MAX(0,CB25+CC25-CD25)</f>
        <v/>
      </c>
      <c r="CF25" s="152">
        <f>G25+K25+O25+S25+W25+AA25+AE25+AI25+AM25+AQ25+AU25+AY25+BC25+BG25+BK25+BO25+BS25+BW25+CA25+CE25</f>
        <v/>
      </c>
      <c r="CG25" s="159">
        <f>E25+I25+M25+Q25+U25+Y25+AC25+AG25+AK25+AO25+AS25+AW25+BA25+BE25+BI25+BM25+BQ25+BU25+BY25+CC25</f>
        <v/>
      </c>
      <c r="CH25" s="152">
        <f>CH24+CG25</f>
        <v/>
      </c>
      <c r="CI25" s="148" t="n"/>
      <c r="CJ25" s="148" t="n"/>
    </row>
    <row r="26" ht="15" customHeight="1" s="83">
      <c r="A26" s="148" t="n"/>
      <c r="B26" s="158" t="n">
        <v>22</v>
      </c>
      <c r="C26" s="152">
        <f>F26+J26+N26+R26+V26+Z26+AD26+AH26+AL26+AP26+AT26+AX26+BB26+BF26+BJ26+BN26+BR26+BV26+BZ26+CD26</f>
        <v/>
      </c>
      <c r="D26" s="152">
        <f>G25</f>
        <v/>
      </c>
      <c r="E26" s="159">
        <f>IF(D26&gt;0.005,D26*Debts!D8/12,0)</f>
        <v/>
      </c>
      <c r="F26" s="159" t="n">
        <v>0</v>
      </c>
      <c r="G26" s="152">
        <f>MAX(0,D26+E26-F26)</f>
        <v/>
      </c>
      <c r="H26" s="152">
        <f>K25</f>
        <v/>
      </c>
      <c r="I26" s="159">
        <f>IF(H26&gt;0.005,H26*Debts!D9/12,0)</f>
        <v/>
      </c>
      <c r="J26" s="159" t="n">
        <v>0</v>
      </c>
      <c r="K26" s="152">
        <f>MAX(0,H26+I26-J26)</f>
        <v/>
      </c>
      <c r="L26" s="152">
        <f>O25</f>
        <v/>
      </c>
      <c r="M26" s="159">
        <f>IF(L26&gt;0.005,L26*Debts!D10/12,0)</f>
        <v/>
      </c>
      <c r="N26" s="159" t="n">
        <v>0</v>
      </c>
      <c r="O26" s="152">
        <f>MAX(0,L26+M26-N26)</f>
        <v/>
      </c>
      <c r="P26" s="152">
        <f>S25</f>
        <v/>
      </c>
      <c r="Q26" s="159">
        <f>IF(P26&gt;0.005,P26*Debts!D11/12,0)</f>
        <v/>
      </c>
      <c r="R26" s="159" t="n">
        <v>0</v>
      </c>
      <c r="S26" s="152">
        <f>MAX(0,P26+Q26-R26)</f>
        <v/>
      </c>
      <c r="T26" s="152">
        <f>W25</f>
        <v/>
      </c>
      <c r="U26" s="159">
        <f>IF(T26&gt;0.005,T26*Debts!D12/12,0)</f>
        <v/>
      </c>
      <c r="V26" s="159" t="n">
        <v>0</v>
      </c>
      <c r="W26" s="152">
        <f>MAX(0,T26+U26-V26)</f>
        <v/>
      </c>
      <c r="X26" s="152">
        <f>AA25</f>
        <v/>
      </c>
      <c r="Y26" s="159">
        <f>IF(X26&gt;0.005,X26*Debts!D13/12,0)</f>
        <v/>
      </c>
      <c r="Z26" s="159" t="n">
        <v>0</v>
      </c>
      <c r="AA26" s="152">
        <f>MAX(0,X26+Y26-Z26)</f>
        <v/>
      </c>
      <c r="AB26" s="152">
        <f>AE25</f>
        <v/>
      </c>
      <c r="AC26" s="159">
        <f>IF(AB26&gt;0.005,AB26*Debts!D14/12,0)</f>
        <v/>
      </c>
      <c r="AD26" s="159" t="n">
        <v>0</v>
      </c>
      <c r="AE26" s="152">
        <f>MAX(0,AB26+AC26-AD26)</f>
        <v/>
      </c>
      <c r="AF26" s="152">
        <f>AI25</f>
        <v/>
      </c>
      <c r="AG26" s="159">
        <f>IF(AF26&gt;0.005,AF26*Debts!D15/12,0)</f>
        <v/>
      </c>
      <c r="AH26" s="159" t="n">
        <v>0</v>
      </c>
      <c r="AI26" s="152">
        <f>MAX(0,AF26+AG26-AH26)</f>
        <v/>
      </c>
      <c r="AJ26" s="152">
        <f>AM25</f>
        <v/>
      </c>
      <c r="AK26" s="159">
        <f>IF(AJ26&gt;0.005,AJ26*Debts!D16/12,0)</f>
        <v/>
      </c>
      <c r="AL26" s="159" t="n">
        <v>0</v>
      </c>
      <c r="AM26" s="152">
        <f>MAX(0,AJ26+AK26-AL26)</f>
        <v/>
      </c>
      <c r="AN26" s="152">
        <f>AQ25</f>
        <v/>
      </c>
      <c r="AO26" s="159">
        <f>IF(AN26&gt;0.005,AN26*Debts!D17/12,0)</f>
        <v/>
      </c>
      <c r="AP26" s="159" t="n">
        <v>0</v>
      </c>
      <c r="AQ26" s="152">
        <f>MAX(0,AN26+AO26-AP26)</f>
        <v/>
      </c>
      <c r="AR26" s="152">
        <f>AU25</f>
        <v/>
      </c>
      <c r="AS26" s="159">
        <f>IF(AR26&gt;0.005,AR26*Debts!D18/12,0)</f>
        <v/>
      </c>
      <c r="AT26" s="159" t="n">
        <v>0</v>
      </c>
      <c r="AU26" s="152">
        <f>MAX(0,AR26+AS26-AT26)</f>
        <v/>
      </c>
      <c r="AV26" s="152">
        <f>AY25</f>
        <v/>
      </c>
      <c r="AW26" s="159">
        <f>IF(AV26&gt;0.005,AV26*Debts!D19/12,0)</f>
        <v/>
      </c>
      <c r="AX26" s="159" t="n">
        <v>0</v>
      </c>
      <c r="AY26" s="152">
        <f>MAX(0,AV26+AW26-AX26)</f>
        <v/>
      </c>
      <c r="AZ26" s="152">
        <f>BC25</f>
        <v/>
      </c>
      <c r="BA26" s="159">
        <f>IF(AZ26&gt;0.005,AZ26*Debts!D20/12,0)</f>
        <v/>
      </c>
      <c r="BB26" s="159" t="n">
        <v>0</v>
      </c>
      <c r="BC26" s="152">
        <f>MAX(0,AZ26+BA26-BB26)</f>
        <v/>
      </c>
      <c r="BD26" s="152">
        <f>BG25</f>
        <v/>
      </c>
      <c r="BE26" s="159">
        <f>IF(BD26&gt;0.005,BD26*Debts!D21/12,0)</f>
        <v/>
      </c>
      <c r="BF26" s="159" t="n">
        <v>0</v>
      </c>
      <c r="BG26" s="152">
        <f>MAX(0,BD26+BE26-BF26)</f>
        <v/>
      </c>
      <c r="BH26" s="152">
        <f>BK25</f>
        <v/>
      </c>
      <c r="BI26" s="159">
        <f>IF(BH26&gt;0.005,BH26*Debts!D22/12,0)</f>
        <v/>
      </c>
      <c r="BJ26" s="159" t="n">
        <v>0</v>
      </c>
      <c r="BK26" s="152">
        <f>MAX(0,BH26+BI26-BJ26)</f>
        <v/>
      </c>
      <c r="BL26" s="152">
        <f>BO25</f>
        <v/>
      </c>
      <c r="BM26" s="159">
        <f>IF(BL26&gt;0.005,BL26*Debts!D23/12,0)</f>
        <v/>
      </c>
      <c r="BN26" s="159" t="n">
        <v>0</v>
      </c>
      <c r="BO26" s="152">
        <f>MAX(0,BL26+BM26-BN26)</f>
        <v/>
      </c>
      <c r="BP26" s="152">
        <f>BS25</f>
        <v/>
      </c>
      <c r="BQ26" s="159">
        <f>IF(BP26&gt;0.005,BP26*Debts!D24/12,0)</f>
        <v/>
      </c>
      <c r="BR26" s="159" t="n">
        <v>0</v>
      </c>
      <c r="BS26" s="152">
        <f>MAX(0,BP26+BQ26-BR26)</f>
        <v/>
      </c>
      <c r="BT26" s="152">
        <f>BW25</f>
        <v/>
      </c>
      <c r="BU26" s="159">
        <f>IF(BT26&gt;0.005,BT26*Debts!D25/12,0)</f>
        <v/>
      </c>
      <c r="BV26" s="159" t="n">
        <v>0</v>
      </c>
      <c r="BW26" s="152">
        <f>MAX(0,BT26+BU26-BV26)</f>
        <v/>
      </c>
      <c r="BX26" s="152">
        <f>CA25</f>
        <v/>
      </c>
      <c r="BY26" s="159">
        <f>IF(BX26&gt;0.005,BX26*Debts!D26/12,0)</f>
        <v/>
      </c>
      <c r="BZ26" s="159" t="n">
        <v>0</v>
      </c>
      <c r="CA26" s="152">
        <f>MAX(0,BX26+BY26-BZ26)</f>
        <v/>
      </c>
      <c r="CB26" s="152">
        <f>CE25</f>
        <v/>
      </c>
      <c r="CC26" s="159">
        <f>IF(CB26&gt;0.005,CB26*Debts!D27/12,0)</f>
        <v/>
      </c>
      <c r="CD26" s="159" t="n">
        <v>0</v>
      </c>
      <c r="CE26" s="152">
        <f>MAX(0,CB26+CC26-CD26)</f>
        <v/>
      </c>
      <c r="CF26" s="152">
        <f>G26+K26+O26+S26+W26+AA26+AE26+AI26+AM26+AQ26+AU26+AY26+BC26+BG26+BK26+BO26+BS26+BW26+CA26+CE26</f>
        <v/>
      </c>
      <c r="CG26" s="159">
        <f>E26+I26+M26+Q26+U26+Y26+AC26+AG26+AK26+AO26+AS26+AW26+BA26+BE26+BI26+BM26+BQ26+BU26+BY26+CC26</f>
        <v/>
      </c>
      <c r="CH26" s="152">
        <f>CH25+CG26</f>
        <v/>
      </c>
      <c r="CI26" s="148" t="n"/>
      <c r="CJ26" s="148" t="n"/>
    </row>
    <row r="27" ht="15" customHeight="1" s="83">
      <c r="A27" s="148" t="n"/>
      <c r="B27" s="158" t="n">
        <v>23</v>
      </c>
      <c r="C27" s="152">
        <f>F27+J27+N27+R27+V27+Z27+AD27+AH27+AL27+AP27+AT27+AX27+BB27+BF27+BJ27+BN27+BR27+BV27+BZ27+CD27</f>
        <v/>
      </c>
      <c r="D27" s="152">
        <f>G26</f>
        <v/>
      </c>
      <c r="E27" s="159">
        <f>IF(D27&gt;0.005,D27*Debts!D8/12,0)</f>
        <v/>
      </c>
      <c r="F27" s="159" t="n">
        <v>0</v>
      </c>
      <c r="G27" s="152">
        <f>MAX(0,D27+E27-F27)</f>
        <v/>
      </c>
      <c r="H27" s="152">
        <f>K26</f>
        <v/>
      </c>
      <c r="I27" s="159">
        <f>IF(H27&gt;0.005,H27*Debts!D9/12,0)</f>
        <v/>
      </c>
      <c r="J27" s="159" t="n">
        <v>0</v>
      </c>
      <c r="K27" s="152">
        <f>MAX(0,H27+I27-J27)</f>
        <v/>
      </c>
      <c r="L27" s="152">
        <f>O26</f>
        <v/>
      </c>
      <c r="M27" s="159">
        <f>IF(L27&gt;0.005,L27*Debts!D10/12,0)</f>
        <v/>
      </c>
      <c r="N27" s="159" t="n">
        <v>0</v>
      </c>
      <c r="O27" s="152">
        <f>MAX(0,L27+M27-N27)</f>
        <v/>
      </c>
      <c r="P27" s="152">
        <f>S26</f>
        <v/>
      </c>
      <c r="Q27" s="159">
        <f>IF(P27&gt;0.005,P27*Debts!D11/12,0)</f>
        <v/>
      </c>
      <c r="R27" s="159" t="n">
        <v>0</v>
      </c>
      <c r="S27" s="152">
        <f>MAX(0,P27+Q27-R27)</f>
        <v/>
      </c>
      <c r="T27" s="152">
        <f>W26</f>
        <v/>
      </c>
      <c r="U27" s="159">
        <f>IF(T27&gt;0.005,T27*Debts!D12/12,0)</f>
        <v/>
      </c>
      <c r="V27" s="159" t="n">
        <v>0</v>
      </c>
      <c r="W27" s="152">
        <f>MAX(0,T27+U27-V27)</f>
        <v/>
      </c>
      <c r="X27" s="152">
        <f>AA26</f>
        <v/>
      </c>
      <c r="Y27" s="159">
        <f>IF(X27&gt;0.005,X27*Debts!D13/12,0)</f>
        <v/>
      </c>
      <c r="Z27" s="159" t="n">
        <v>0</v>
      </c>
      <c r="AA27" s="152">
        <f>MAX(0,X27+Y27-Z27)</f>
        <v/>
      </c>
      <c r="AB27" s="152">
        <f>AE26</f>
        <v/>
      </c>
      <c r="AC27" s="159">
        <f>IF(AB27&gt;0.005,AB27*Debts!D14/12,0)</f>
        <v/>
      </c>
      <c r="AD27" s="159" t="n">
        <v>0</v>
      </c>
      <c r="AE27" s="152">
        <f>MAX(0,AB27+AC27-AD27)</f>
        <v/>
      </c>
      <c r="AF27" s="152">
        <f>AI26</f>
        <v/>
      </c>
      <c r="AG27" s="159">
        <f>IF(AF27&gt;0.005,AF27*Debts!D15/12,0)</f>
        <v/>
      </c>
      <c r="AH27" s="159" t="n">
        <v>0</v>
      </c>
      <c r="AI27" s="152">
        <f>MAX(0,AF27+AG27-AH27)</f>
        <v/>
      </c>
      <c r="AJ27" s="152">
        <f>AM26</f>
        <v/>
      </c>
      <c r="AK27" s="159">
        <f>IF(AJ27&gt;0.005,AJ27*Debts!D16/12,0)</f>
        <v/>
      </c>
      <c r="AL27" s="159" t="n">
        <v>0</v>
      </c>
      <c r="AM27" s="152">
        <f>MAX(0,AJ27+AK27-AL27)</f>
        <v/>
      </c>
      <c r="AN27" s="152">
        <f>AQ26</f>
        <v/>
      </c>
      <c r="AO27" s="159">
        <f>IF(AN27&gt;0.005,AN27*Debts!D17/12,0)</f>
        <v/>
      </c>
      <c r="AP27" s="159" t="n">
        <v>0</v>
      </c>
      <c r="AQ27" s="152">
        <f>MAX(0,AN27+AO27-AP27)</f>
        <v/>
      </c>
      <c r="AR27" s="152">
        <f>AU26</f>
        <v/>
      </c>
      <c r="AS27" s="159">
        <f>IF(AR27&gt;0.005,AR27*Debts!D18/12,0)</f>
        <v/>
      </c>
      <c r="AT27" s="159" t="n">
        <v>0</v>
      </c>
      <c r="AU27" s="152">
        <f>MAX(0,AR27+AS27-AT27)</f>
        <v/>
      </c>
      <c r="AV27" s="152">
        <f>AY26</f>
        <v/>
      </c>
      <c r="AW27" s="159">
        <f>IF(AV27&gt;0.005,AV27*Debts!D19/12,0)</f>
        <v/>
      </c>
      <c r="AX27" s="159" t="n">
        <v>0</v>
      </c>
      <c r="AY27" s="152">
        <f>MAX(0,AV27+AW27-AX27)</f>
        <v/>
      </c>
      <c r="AZ27" s="152">
        <f>BC26</f>
        <v/>
      </c>
      <c r="BA27" s="159">
        <f>IF(AZ27&gt;0.005,AZ27*Debts!D20/12,0)</f>
        <v/>
      </c>
      <c r="BB27" s="159" t="n">
        <v>0</v>
      </c>
      <c r="BC27" s="152">
        <f>MAX(0,AZ27+BA27-BB27)</f>
        <v/>
      </c>
      <c r="BD27" s="152">
        <f>BG26</f>
        <v/>
      </c>
      <c r="BE27" s="159">
        <f>IF(BD27&gt;0.005,BD27*Debts!D21/12,0)</f>
        <v/>
      </c>
      <c r="BF27" s="159" t="n">
        <v>0</v>
      </c>
      <c r="BG27" s="152">
        <f>MAX(0,BD27+BE27-BF27)</f>
        <v/>
      </c>
      <c r="BH27" s="152">
        <f>BK26</f>
        <v/>
      </c>
      <c r="BI27" s="159">
        <f>IF(BH27&gt;0.005,BH27*Debts!D22/12,0)</f>
        <v/>
      </c>
      <c r="BJ27" s="159" t="n">
        <v>0</v>
      </c>
      <c r="BK27" s="152">
        <f>MAX(0,BH27+BI27-BJ27)</f>
        <v/>
      </c>
      <c r="BL27" s="152">
        <f>BO26</f>
        <v/>
      </c>
      <c r="BM27" s="159">
        <f>IF(BL27&gt;0.005,BL27*Debts!D23/12,0)</f>
        <v/>
      </c>
      <c r="BN27" s="159" t="n">
        <v>0</v>
      </c>
      <c r="BO27" s="152">
        <f>MAX(0,BL27+BM27-BN27)</f>
        <v/>
      </c>
      <c r="BP27" s="152">
        <f>BS26</f>
        <v/>
      </c>
      <c r="BQ27" s="159">
        <f>IF(BP27&gt;0.005,BP27*Debts!D24/12,0)</f>
        <v/>
      </c>
      <c r="BR27" s="159" t="n">
        <v>0</v>
      </c>
      <c r="BS27" s="152">
        <f>MAX(0,BP27+BQ27-BR27)</f>
        <v/>
      </c>
      <c r="BT27" s="152">
        <f>BW26</f>
        <v/>
      </c>
      <c r="BU27" s="159">
        <f>IF(BT27&gt;0.005,BT27*Debts!D25/12,0)</f>
        <v/>
      </c>
      <c r="BV27" s="159" t="n">
        <v>0</v>
      </c>
      <c r="BW27" s="152">
        <f>MAX(0,BT27+BU27-BV27)</f>
        <v/>
      </c>
      <c r="BX27" s="152">
        <f>CA26</f>
        <v/>
      </c>
      <c r="BY27" s="159">
        <f>IF(BX27&gt;0.005,BX27*Debts!D26/12,0)</f>
        <v/>
      </c>
      <c r="BZ27" s="159" t="n">
        <v>0</v>
      </c>
      <c r="CA27" s="152">
        <f>MAX(0,BX27+BY27-BZ27)</f>
        <v/>
      </c>
      <c r="CB27" s="152">
        <f>CE26</f>
        <v/>
      </c>
      <c r="CC27" s="159">
        <f>IF(CB27&gt;0.005,CB27*Debts!D27/12,0)</f>
        <v/>
      </c>
      <c r="CD27" s="159" t="n">
        <v>0</v>
      </c>
      <c r="CE27" s="152">
        <f>MAX(0,CB27+CC27-CD27)</f>
        <v/>
      </c>
      <c r="CF27" s="152">
        <f>G27+K27+O27+S27+W27+AA27+AE27+AI27+AM27+AQ27+AU27+AY27+BC27+BG27+BK27+BO27+BS27+BW27+CA27+CE27</f>
        <v/>
      </c>
      <c r="CG27" s="159">
        <f>E27+I27+M27+Q27+U27+Y27+AC27+AG27+AK27+AO27+AS27+AW27+BA27+BE27+BI27+BM27+BQ27+BU27+BY27+CC27</f>
        <v/>
      </c>
      <c r="CH27" s="152">
        <f>CH26+CG27</f>
        <v/>
      </c>
      <c r="CI27" s="148" t="n"/>
      <c r="CJ27" s="148" t="n"/>
    </row>
    <row r="28" ht="15" customHeight="1" s="83">
      <c r="A28" s="148" t="n"/>
      <c r="B28" s="158" t="n">
        <v>24</v>
      </c>
      <c r="C28" s="152">
        <f>F28+J28+N28+R28+V28+Z28+AD28+AH28+AL28+AP28+AT28+AX28+BB28+BF28+BJ28+BN28+BR28+BV28+BZ28+CD28</f>
        <v/>
      </c>
      <c r="D28" s="152">
        <f>G27</f>
        <v/>
      </c>
      <c r="E28" s="159">
        <f>IF(D28&gt;0.005,D28*Debts!D8/12,0)</f>
        <v/>
      </c>
      <c r="F28" s="159" t="n">
        <v>0</v>
      </c>
      <c r="G28" s="152">
        <f>MAX(0,D28+E28-F28)</f>
        <v/>
      </c>
      <c r="H28" s="152">
        <f>K27</f>
        <v/>
      </c>
      <c r="I28" s="159">
        <f>IF(H28&gt;0.005,H28*Debts!D9/12,0)</f>
        <v/>
      </c>
      <c r="J28" s="159" t="n">
        <v>0</v>
      </c>
      <c r="K28" s="152">
        <f>MAX(0,H28+I28-J28)</f>
        <v/>
      </c>
      <c r="L28" s="152">
        <f>O27</f>
        <v/>
      </c>
      <c r="M28" s="159">
        <f>IF(L28&gt;0.005,L28*Debts!D10/12,0)</f>
        <v/>
      </c>
      <c r="N28" s="159" t="n">
        <v>0</v>
      </c>
      <c r="O28" s="152">
        <f>MAX(0,L28+M28-N28)</f>
        <v/>
      </c>
      <c r="P28" s="152">
        <f>S27</f>
        <v/>
      </c>
      <c r="Q28" s="159">
        <f>IF(P28&gt;0.005,P28*Debts!D11/12,0)</f>
        <v/>
      </c>
      <c r="R28" s="159" t="n">
        <v>0</v>
      </c>
      <c r="S28" s="152">
        <f>MAX(0,P28+Q28-R28)</f>
        <v/>
      </c>
      <c r="T28" s="152">
        <f>W27</f>
        <v/>
      </c>
      <c r="U28" s="159">
        <f>IF(T28&gt;0.005,T28*Debts!D12/12,0)</f>
        <v/>
      </c>
      <c r="V28" s="159" t="n">
        <v>0</v>
      </c>
      <c r="W28" s="152">
        <f>MAX(0,T28+U28-V28)</f>
        <v/>
      </c>
      <c r="X28" s="152">
        <f>AA27</f>
        <v/>
      </c>
      <c r="Y28" s="159">
        <f>IF(X28&gt;0.005,X28*Debts!D13/12,0)</f>
        <v/>
      </c>
      <c r="Z28" s="159" t="n">
        <v>0</v>
      </c>
      <c r="AA28" s="152">
        <f>MAX(0,X28+Y28-Z28)</f>
        <v/>
      </c>
      <c r="AB28" s="152">
        <f>AE27</f>
        <v/>
      </c>
      <c r="AC28" s="159">
        <f>IF(AB28&gt;0.005,AB28*Debts!D14/12,0)</f>
        <v/>
      </c>
      <c r="AD28" s="159" t="n">
        <v>0</v>
      </c>
      <c r="AE28" s="152">
        <f>MAX(0,AB28+AC28-AD28)</f>
        <v/>
      </c>
      <c r="AF28" s="152">
        <f>AI27</f>
        <v/>
      </c>
      <c r="AG28" s="159">
        <f>IF(AF28&gt;0.005,AF28*Debts!D15/12,0)</f>
        <v/>
      </c>
      <c r="AH28" s="159" t="n">
        <v>0</v>
      </c>
      <c r="AI28" s="152">
        <f>MAX(0,AF28+AG28-AH28)</f>
        <v/>
      </c>
      <c r="AJ28" s="152">
        <f>AM27</f>
        <v/>
      </c>
      <c r="AK28" s="159">
        <f>IF(AJ28&gt;0.005,AJ28*Debts!D16/12,0)</f>
        <v/>
      </c>
      <c r="AL28" s="159" t="n">
        <v>0</v>
      </c>
      <c r="AM28" s="152">
        <f>MAX(0,AJ28+AK28-AL28)</f>
        <v/>
      </c>
      <c r="AN28" s="152">
        <f>AQ27</f>
        <v/>
      </c>
      <c r="AO28" s="159">
        <f>IF(AN28&gt;0.005,AN28*Debts!D17/12,0)</f>
        <v/>
      </c>
      <c r="AP28" s="159" t="n">
        <v>0</v>
      </c>
      <c r="AQ28" s="152">
        <f>MAX(0,AN28+AO28-AP28)</f>
        <v/>
      </c>
      <c r="AR28" s="152">
        <f>AU27</f>
        <v/>
      </c>
      <c r="AS28" s="159">
        <f>IF(AR28&gt;0.005,AR28*Debts!D18/12,0)</f>
        <v/>
      </c>
      <c r="AT28" s="159" t="n">
        <v>0</v>
      </c>
      <c r="AU28" s="152">
        <f>MAX(0,AR28+AS28-AT28)</f>
        <v/>
      </c>
      <c r="AV28" s="152">
        <f>AY27</f>
        <v/>
      </c>
      <c r="AW28" s="159">
        <f>IF(AV28&gt;0.005,AV28*Debts!D19/12,0)</f>
        <v/>
      </c>
      <c r="AX28" s="159" t="n">
        <v>0</v>
      </c>
      <c r="AY28" s="152">
        <f>MAX(0,AV28+AW28-AX28)</f>
        <v/>
      </c>
      <c r="AZ28" s="152">
        <f>BC27</f>
        <v/>
      </c>
      <c r="BA28" s="159">
        <f>IF(AZ28&gt;0.005,AZ28*Debts!D20/12,0)</f>
        <v/>
      </c>
      <c r="BB28" s="159" t="n">
        <v>0</v>
      </c>
      <c r="BC28" s="152">
        <f>MAX(0,AZ28+BA28-BB28)</f>
        <v/>
      </c>
      <c r="BD28" s="152">
        <f>BG27</f>
        <v/>
      </c>
      <c r="BE28" s="159">
        <f>IF(BD28&gt;0.005,BD28*Debts!D21/12,0)</f>
        <v/>
      </c>
      <c r="BF28" s="159" t="n">
        <v>0</v>
      </c>
      <c r="BG28" s="152">
        <f>MAX(0,BD28+BE28-BF28)</f>
        <v/>
      </c>
      <c r="BH28" s="152">
        <f>BK27</f>
        <v/>
      </c>
      <c r="BI28" s="159">
        <f>IF(BH28&gt;0.005,BH28*Debts!D22/12,0)</f>
        <v/>
      </c>
      <c r="BJ28" s="159" t="n">
        <v>0</v>
      </c>
      <c r="BK28" s="152">
        <f>MAX(0,BH28+BI28-BJ28)</f>
        <v/>
      </c>
      <c r="BL28" s="152">
        <f>BO27</f>
        <v/>
      </c>
      <c r="BM28" s="159">
        <f>IF(BL28&gt;0.005,BL28*Debts!D23/12,0)</f>
        <v/>
      </c>
      <c r="BN28" s="159" t="n">
        <v>0</v>
      </c>
      <c r="BO28" s="152">
        <f>MAX(0,BL28+BM28-BN28)</f>
        <v/>
      </c>
      <c r="BP28" s="152">
        <f>BS27</f>
        <v/>
      </c>
      <c r="BQ28" s="159">
        <f>IF(BP28&gt;0.005,BP28*Debts!D24/12,0)</f>
        <v/>
      </c>
      <c r="BR28" s="159" t="n">
        <v>0</v>
      </c>
      <c r="BS28" s="152">
        <f>MAX(0,BP28+BQ28-BR28)</f>
        <v/>
      </c>
      <c r="BT28" s="152">
        <f>BW27</f>
        <v/>
      </c>
      <c r="BU28" s="159">
        <f>IF(BT28&gt;0.005,BT28*Debts!D25/12,0)</f>
        <v/>
      </c>
      <c r="BV28" s="159" t="n">
        <v>0</v>
      </c>
      <c r="BW28" s="152">
        <f>MAX(0,BT28+BU28-BV28)</f>
        <v/>
      </c>
      <c r="BX28" s="152">
        <f>CA27</f>
        <v/>
      </c>
      <c r="BY28" s="159">
        <f>IF(BX28&gt;0.005,BX28*Debts!D26/12,0)</f>
        <v/>
      </c>
      <c r="BZ28" s="159" t="n">
        <v>0</v>
      </c>
      <c r="CA28" s="152">
        <f>MAX(0,BX28+BY28-BZ28)</f>
        <v/>
      </c>
      <c r="CB28" s="152">
        <f>CE27</f>
        <v/>
      </c>
      <c r="CC28" s="159">
        <f>IF(CB28&gt;0.005,CB28*Debts!D27/12,0)</f>
        <v/>
      </c>
      <c r="CD28" s="159" t="n">
        <v>0</v>
      </c>
      <c r="CE28" s="152">
        <f>MAX(0,CB28+CC28-CD28)</f>
        <v/>
      </c>
      <c r="CF28" s="152">
        <f>G28+K28+O28+S28+W28+AA28+AE28+AI28+AM28+AQ28+AU28+AY28+BC28+BG28+BK28+BO28+BS28+BW28+CA28+CE28</f>
        <v/>
      </c>
      <c r="CG28" s="159">
        <f>E28+I28+M28+Q28+U28+Y28+AC28+AG28+AK28+AO28+AS28+AW28+BA28+BE28+BI28+BM28+BQ28+BU28+BY28+CC28</f>
        <v/>
      </c>
      <c r="CH28" s="152">
        <f>CH27+CG28</f>
        <v/>
      </c>
      <c r="CI28" s="148" t="n"/>
      <c r="CJ28" s="148" t="n"/>
    </row>
    <row r="29" ht="15" customHeight="1" s="83">
      <c r="A29" s="148" t="n"/>
      <c r="B29" s="158" t="n">
        <v>25</v>
      </c>
      <c r="C29" s="152">
        <f>F29+J29+N29+R29+V29+Z29+AD29+AH29+AL29+AP29+AT29+AX29+BB29+BF29+BJ29+BN29+BR29+BV29+BZ29+CD29</f>
        <v/>
      </c>
      <c r="D29" s="152">
        <f>G28</f>
        <v/>
      </c>
      <c r="E29" s="159">
        <f>IF(D29&gt;0.005,D29*Debts!D8/12,0)</f>
        <v/>
      </c>
      <c r="F29" s="159" t="n">
        <v>0</v>
      </c>
      <c r="G29" s="152">
        <f>MAX(0,D29+E29-F29)</f>
        <v/>
      </c>
      <c r="H29" s="152">
        <f>K28</f>
        <v/>
      </c>
      <c r="I29" s="159">
        <f>IF(H29&gt;0.005,H29*Debts!D9/12,0)</f>
        <v/>
      </c>
      <c r="J29" s="159" t="n">
        <v>0</v>
      </c>
      <c r="K29" s="152">
        <f>MAX(0,H29+I29-J29)</f>
        <v/>
      </c>
      <c r="L29" s="152">
        <f>O28</f>
        <v/>
      </c>
      <c r="M29" s="159">
        <f>IF(L29&gt;0.005,L29*Debts!D10/12,0)</f>
        <v/>
      </c>
      <c r="N29" s="159" t="n">
        <v>0</v>
      </c>
      <c r="O29" s="152">
        <f>MAX(0,L29+M29-N29)</f>
        <v/>
      </c>
      <c r="P29" s="152">
        <f>S28</f>
        <v/>
      </c>
      <c r="Q29" s="159">
        <f>IF(P29&gt;0.005,P29*Debts!D11/12,0)</f>
        <v/>
      </c>
      <c r="R29" s="159" t="n">
        <v>0</v>
      </c>
      <c r="S29" s="152">
        <f>MAX(0,P29+Q29-R29)</f>
        <v/>
      </c>
      <c r="T29" s="152">
        <f>W28</f>
        <v/>
      </c>
      <c r="U29" s="159">
        <f>IF(T29&gt;0.005,T29*Debts!D12/12,0)</f>
        <v/>
      </c>
      <c r="V29" s="159" t="n">
        <v>0</v>
      </c>
      <c r="W29" s="152">
        <f>MAX(0,T29+U29-V29)</f>
        <v/>
      </c>
      <c r="X29" s="152">
        <f>AA28</f>
        <v/>
      </c>
      <c r="Y29" s="159">
        <f>IF(X29&gt;0.005,X29*Debts!D13/12,0)</f>
        <v/>
      </c>
      <c r="Z29" s="159" t="n">
        <v>0</v>
      </c>
      <c r="AA29" s="152">
        <f>MAX(0,X29+Y29-Z29)</f>
        <v/>
      </c>
      <c r="AB29" s="152">
        <f>AE28</f>
        <v/>
      </c>
      <c r="AC29" s="159">
        <f>IF(AB29&gt;0.005,AB29*Debts!D14/12,0)</f>
        <v/>
      </c>
      <c r="AD29" s="159" t="n">
        <v>0</v>
      </c>
      <c r="AE29" s="152">
        <f>MAX(0,AB29+AC29-AD29)</f>
        <v/>
      </c>
      <c r="AF29" s="152">
        <f>AI28</f>
        <v/>
      </c>
      <c r="AG29" s="159">
        <f>IF(AF29&gt;0.005,AF29*Debts!D15/12,0)</f>
        <v/>
      </c>
      <c r="AH29" s="159" t="n">
        <v>0</v>
      </c>
      <c r="AI29" s="152">
        <f>MAX(0,AF29+AG29-AH29)</f>
        <v/>
      </c>
      <c r="AJ29" s="152">
        <f>AM28</f>
        <v/>
      </c>
      <c r="AK29" s="159">
        <f>IF(AJ29&gt;0.005,AJ29*Debts!D16/12,0)</f>
        <v/>
      </c>
      <c r="AL29" s="159" t="n">
        <v>0</v>
      </c>
      <c r="AM29" s="152">
        <f>MAX(0,AJ29+AK29-AL29)</f>
        <v/>
      </c>
      <c r="AN29" s="152">
        <f>AQ28</f>
        <v/>
      </c>
      <c r="AO29" s="159">
        <f>IF(AN29&gt;0.005,AN29*Debts!D17/12,0)</f>
        <v/>
      </c>
      <c r="AP29" s="159" t="n">
        <v>0</v>
      </c>
      <c r="AQ29" s="152">
        <f>MAX(0,AN29+AO29-AP29)</f>
        <v/>
      </c>
      <c r="AR29" s="152">
        <f>AU28</f>
        <v/>
      </c>
      <c r="AS29" s="159">
        <f>IF(AR29&gt;0.005,AR29*Debts!D18/12,0)</f>
        <v/>
      </c>
      <c r="AT29" s="159" t="n">
        <v>0</v>
      </c>
      <c r="AU29" s="152">
        <f>MAX(0,AR29+AS29-AT29)</f>
        <v/>
      </c>
      <c r="AV29" s="152">
        <f>AY28</f>
        <v/>
      </c>
      <c r="AW29" s="159">
        <f>IF(AV29&gt;0.005,AV29*Debts!D19/12,0)</f>
        <v/>
      </c>
      <c r="AX29" s="159" t="n">
        <v>0</v>
      </c>
      <c r="AY29" s="152">
        <f>MAX(0,AV29+AW29-AX29)</f>
        <v/>
      </c>
      <c r="AZ29" s="152">
        <f>BC28</f>
        <v/>
      </c>
      <c r="BA29" s="159">
        <f>IF(AZ29&gt;0.005,AZ29*Debts!D20/12,0)</f>
        <v/>
      </c>
      <c r="BB29" s="159" t="n">
        <v>0</v>
      </c>
      <c r="BC29" s="152">
        <f>MAX(0,AZ29+BA29-BB29)</f>
        <v/>
      </c>
      <c r="BD29" s="152">
        <f>BG28</f>
        <v/>
      </c>
      <c r="BE29" s="159">
        <f>IF(BD29&gt;0.005,BD29*Debts!D21/12,0)</f>
        <v/>
      </c>
      <c r="BF29" s="159" t="n">
        <v>0</v>
      </c>
      <c r="BG29" s="152">
        <f>MAX(0,BD29+BE29-BF29)</f>
        <v/>
      </c>
      <c r="BH29" s="152">
        <f>BK28</f>
        <v/>
      </c>
      <c r="BI29" s="159">
        <f>IF(BH29&gt;0.005,BH29*Debts!D22/12,0)</f>
        <v/>
      </c>
      <c r="BJ29" s="159" t="n">
        <v>0</v>
      </c>
      <c r="BK29" s="152">
        <f>MAX(0,BH29+BI29-BJ29)</f>
        <v/>
      </c>
      <c r="BL29" s="152">
        <f>BO28</f>
        <v/>
      </c>
      <c r="BM29" s="159">
        <f>IF(BL29&gt;0.005,BL29*Debts!D23/12,0)</f>
        <v/>
      </c>
      <c r="BN29" s="159" t="n">
        <v>0</v>
      </c>
      <c r="BO29" s="152">
        <f>MAX(0,BL29+BM29-BN29)</f>
        <v/>
      </c>
      <c r="BP29" s="152">
        <f>BS28</f>
        <v/>
      </c>
      <c r="BQ29" s="159">
        <f>IF(BP29&gt;0.005,BP29*Debts!D24/12,0)</f>
        <v/>
      </c>
      <c r="BR29" s="159" t="n">
        <v>0</v>
      </c>
      <c r="BS29" s="152">
        <f>MAX(0,BP29+BQ29-BR29)</f>
        <v/>
      </c>
      <c r="BT29" s="152">
        <f>BW28</f>
        <v/>
      </c>
      <c r="BU29" s="159">
        <f>IF(BT29&gt;0.005,BT29*Debts!D25/12,0)</f>
        <v/>
      </c>
      <c r="BV29" s="159" t="n">
        <v>0</v>
      </c>
      <c r="BW29" s="152">
        <f>MAX(0,BT29+BU29-BV29)</f>
        <v/>
      </c>
      <c r="BX29" s="152">
        <f>CA28</f>
        <v/>
      </c>
      <c r="BY29" s="159">
        <f>IF(BX29&gt;0.005,BX29*Debts!D26/12,0)</f>
        <v/>
      </c>
      <c r="BZ29" s="159" t="n">
        <v>0</v>
      </c>
      <c r="CA29" s="152">
        <f>MAX(0,BX29+BY29-BZ29)</f>
        <v/>
      </c>
      <c r="CB29" s="152">
        <f>CE28</f>
        <v/>
      </c>
      <c r="CC29" s="159">
        <f>IF(CB29&gt;0.005,CB29*Debts!D27/12,0)</f>
        <v/>
      </c>
      <c r="CD29" s="159" t="n">
        <v>0</v>
      </c>
      <c r="CE29" s="152">
        <f>MAX(0,CB29+CC29-CD29)</f>
        <v/>
      </c>
      <c r="CF29" s="152">
        <f>G29+K29+O29+S29+W29+AA29+AE29+AI29+AM29+AQ29+AU29+AY29+BC29+BG29+BK29+BO29+BS29+BW29+CA29+CE29</f>
        <v/>
      </c>
      <c r="CG29" s="159">
        <f>E29+I29+M29+Q29+U29+Y29+AC29+AG29+AK29+AO29+AS29+AW29+BA29+BE29+BI29+BM29+BQ29+BU29+BY29+CC29</f>
        <v/>
      </c>
      <c r="CH29" s="152">
        <f>CH28+CG29</f>
        <v/>
      </c>
      <c r="CI29" s="148" t="n"/>
      <c r="CJ29" s="148" t="n"/>
    </row>
    <row r="30" ht="15" customHeight="1" s="83">
      <c r="A30" s="148" t="n"/>
      <c r="B30" s="158" t="n">
        <v>26</v>
      </c>
      <c r="C30" s="152">
        <f>F30+J30+N30+R30+V30+Z30+AD30+AH30+AL30+AP30+AT30+AX30+BB30+BF30+BJ30+BN30+BR30+BV30+BZ30+CD30</f>
        <v/>
      </c>
      <c r="D30" s="152">
        <f>G29</f>
        <v/>
      </c>
      <c r="E30" s="159">
        <f>IF(D30&gt;0.005,D30*Debts!D8/12,0)</f>
        <v/>
      </c>
      <c r="F30" s="159" t="n">
        <v>0</v>
      </c>
      <c r="G30" s="152">
        <f>MAX(0,D30+E30-F30)</f>
        <v/>
      </c>
      <c r="H30" s="152">
        <f>K29</f>
        <v/>
      </c>
      <c r="I30" s="159">
        <f>IF(H30&gt;0.005,H30*Debts!D9/12,0)</f>
        <v/>
      </c>
      <c r="J30" s="159" t="n">
        <v>0</v>
      </c>
      <c r="K30" s="152">
        <f>MAX(0,H30+I30-J30)</f>
        <v/>
      </c>
      <c r="L30" s="152">
        <f>O29</f>
        <v/>
      </c>
      <c r="M30" s="159">
        <f>IF(L30&gt;0.005,L30*Debts!D10/12,0)</f>
        <v/>
      </c>
      <c r="N30" s="159" t="n">
        <v>0</v>
      </c>
      <c r="O30" s="152">
        <f>MAX(0,L30+M30-N30)</f>
        <v/>
      </c>
      <c r="P30" s="152">
        <f>S29</f>
        <v/>
      </c>
      <c r="Q30" s="159">
        <f>IF(P30&gt;0.005,P30*Debts!D11/12,0)</f>
        <v/>
      </c>
      <c r="R30" s="159" t="n">
        <v>0</v>
      </c>
      <c r="S30" s="152">
        <f>MAX(0,P30+Q30-R30)</f>
        <v/>
      </c>
      <c r="T30" s="152">
        <f>W29</f>
        <v/>
      </c>
      <c r="U30" s="159">
        <f>IF(T30&gt;0.005,T30*Debts!D12/12,0)</f>
        <v/>
      </c>
      <c r="V30" s="159" t="n">
        <v>0</v>
      </c>
      <c r="W30" s="152">
        <f>MAX(0,T30+U30-V30)</f>
        <v/>
      </c>
      <c r="X30" s="152">
        <f>AA29</f>
        <v/>
      </c>
      <c r="Y30" s="159">
        <f>IF(X30&gt;0.005,X30*Debts!D13/12,0)</f>
        <v/>
      </c>
      <c r="Z30" s="159" t="n">
        <v>0</v>
      </c>
      <c r="AA30" s="152">
        <f>MAX(0,X30+Y30-Z30)</f>
        <v/>
      </c>
      <c r="AB30" s="152">
        <f>AE29</f>
        <v/>
      </c>
      <c r="AC30" s="159">
        <f>IF(AB30&gt;0.005,AB30*Debts!D14/12,0)</f>
        <v/>
      </c>
      <c r="AD30" s="159" t="n">
        <v>0</v>
      </c>
      <c r="AE30" s="152">
        <f>MAX(0,AB30+AC30-AD30)</f>
        <v/>
      </c>
      <c r="AF30" s="152">
        <f>AI29</f>
        <v/>
      </c>
      <c r="AG30" s="159">
        <f>IF(AF30&gt;0.005,AF30*Debts!D15/12,0)</f>
        <v/>
      </c>
      <c r="AH30" s="159" t="n">
        <v>0</v>
      </c>
      <c r="AI30" s="152">
        <f>MAX(0,AF30+AG30-AH30)</f>
        <v/>
      </c>
      <c r="AJ30" s="152">
        <f>AM29</f>
        <v/>
      </c>
      <c r="AK30" s="159">
        <f>IF(AJ30&gt;0.005,AJ30*Debts!D16/12,0)</f>
        <v/>
      </c>
      <c r="AL30" s="159" t="n">
        <v>0</v>
      </c>
      <c r="AM30" s="152">
        <f>MAX(0,AJ30+AK30-AL30)</f>
        <v/>
      </c>
      <c r="AN30" s="152">
        <f>AQ29</f>
        <v/>
      </c>
      <c r="AO30" s="159">
        <f>IF(AN30&gt;0.005,AN30*Debts!D17/12,0)</f>
        <v/>
      </c>
      <c r="AP30" s="159" t="n">
        <v>0</v>
      </c>
      <c r="AQ30" s="152">
        <f>MAX(0,AN30+AO30-AP30)</f>
        <v/>
      </c>
      <c r="AR30" s="152">
        <f>AU29</f>
        <v/>
      </c>
      <c r="AS30" s="159">
        <f>IF(AR30&gt;0.005,AR30*Debts!D18/12,0)</f>
        <v/>
      </c>
      <c r="AT30" s="159" t="n">
        <v>0</v>
      </c>
      <c r="AU30" s="152">
        <f>MAX(0,AR30+AS30-AT30)</f>
        <v/>
      </c>
      <c r="AV30" s="152">
        <f>AY29</f>
        <v/>
      </c>
      <c r="AW30" s="159">
        <f>IF(AV30&gt;0.005,AV30*Debts!D19/12,0)</f>
        <v/>
      </c>
      <c r="AX30" s="159" t="n">
        <v>0</v>
      </c>
      <c r="AY30" s="152">
        <f>MAX(0,AV30+AW30-AX30)</f>
        <v/>
      </c>
      <c r="AZ30" s="152">
        <f>BC29</f>
        <v/>
      </c>
      <c r="BA30" s="159">
        <f>IF(AZ30&gt;0.005,AZ30*Debts!D20/12,0)</f>
        <v/>
      </c>
      <c r="BB30" s="159" t="n">
        <v>0</v>
      </c>
      <c r="BC30" s="152">
        <f>MAX(0,AZ30+BA30-BB30)</f>
        <v/>
      </c>
      <c r="BD30" s="152">
        <f>BG29</f>
        <v/>
      </c>
      <c r="BE30" s="159">
        <f>IF(BD30&gt;0.005,BD30*Debts!D21/12,0)</f>
        <v/>
      </c>
      <c r="BF30" s="159" t="n">
        <v>0</v>
      </c>
      <c r="BG30" s="152">
        <f>MAX(0,BD30+BE30-BF30)</f>
        <v/>
      </c>
      <c r="BH30" s="152">
        <f>BK29</f>
        <v/>
      </c>
      <c r="BI30" s="159">
        <f>IF(BH30&gt;0.005,BH30*Debts!D22/12,0)</f>
        <v/>
      </c>
      <c r="BJ30" s="159" t="n">
        <v>0</v>
      </c>
      <c r="BK30" s="152">
        <f>MAX(0,BH30+BI30-BJ30)</f>
        <v/>
      </c>
      <c r="BL30" s="152">
        <f>BO29</f>
        <v/>
      </c>
      <c r="BM30" s="159">
        <f>IF(BL30&gt;0.005,BL30*Debts!D23/12,0)</f>
        <v/>
      </c>
      <c r="BN30" s="159" t="n">
        <v>0</v>
      </c>
      <c r="BO30" s="152">
        <f>MAX(0,BL30+BM30-BN30)</f>
        <v/>
      </c>
      <c r="BP30" s="152">
        <f>BS29</f>
        <v/>
      </c>
      <c r="BQ30" s="159">
        <f>IF(BP30&gt;0.005,BP30*Debts!D24/12,0)</f>
        <v/>
      </c>
      <c r="BR30" s="159" t="n">
        <v>0</v>
      </c>
      <c r="BS30" s="152">
        <f>MAX(0,BP30+BQ30-BR30)</f>
        <v/>
      </c>
      <c r="BT30" s="152">
        <f>BW29</f>
        <v/>
      </c>
      <c r="BU30" s="159">
        <f>IF(BT30&gt;0.005,BT30*Debts!D25/12,0)</f>
        <v/>
      </c>
      <c r="BV30" s="159" t="n">
        <v>0</v>
      </c>
      <c r="BW30" s="152">
        <f>MAX(0,BT30+BU30-BV30)</f>
        <v/>
      </c>
      <c r="BX30" s="152">
        <f>CA29</f>
        <v/>
      </c>
      <c r="BY30" s="159">
        <f>IF(BX30&gt;0.005,BX30*Debts!D26/12,0)</f>
        <v/>
      </c>
      <c r="BZ30" s="159" t="n">
        <v>0</v>
      </c>
      <c r="CA30" s="152">
        <f>MAX(0,BX30+BY30-BZ30)</f>
        <v/>
      </c>
      <c r="CB30" s="152">
        <f>CE29</f>
        <v/>
      </c>
      <c r="CC30" s="159">
        <f>IF(CB30&gt;0.005,CB30*Debts!D27/12,0)</f>
        <v/>
      </c>
      <c r="CD30" s="159" t="n">
        <v>0</v>
      </c>
      <c r="CE30" s="152">
        <f>MAX(0,CB30+CC30-CD30)</f>
        <v/>
      </c>
      <c r="CF30" s="152">
        <f>G30+K30+O30+S30+W30+AA30+AE30+AI30+AM30+AQ30+AU30+AY30+BC30+BG30+BK30+BO30+BS30+BW30+CA30+CE30</f>
        <v/>
      </c>
      <c r="CG30" s="159">
        <f>E30+I30+M30+Q30+U30+Y30+AC30+AG30+AK30+AO30+AS30+AW30+BA30+BE30+BI30+BM30+BQ30+BU30+BY30+CC30</f>
        <v/>
      </c>
      <c r="CH30" s="152">
        <f>CH29+CG30</f>
        <v/>
      </c>
      <c r="CI30" s="148" t="n"/>
      <c r="CJ30" s="148" t="n"/>
    </row>
    <row r="31" ht="15" customHeight="1" s="83">
      <c r="A31" s="148" t="n"/>
      <c r="B31" s="158" t="n">
        <v>27</v>
      </c>
      <c r="C31" s="152">
        <f>F31+J31+N31+R31+V31+Z31+AD31+AH31+AL31+AP31+AT31+AX31+BB31+BF31+BJ31+BN31+BR31+BV31+BZ31+CD31</f>
        <v/>
      </c>
      <c r="D31" s="152">
        <f>G30</f>
        <v/>
      </c>
      <c r="E31" s="159">
        <f>IF(D31&gt;0.005,D31*Debts!D8/12,0)</f>
        <v/>
      </c>
      <c r="F31" s="159" t="n">
        <v>0</v>
      </c>
      <c r="G31" s="152">
        <f>MAX(0,D31+E31-F31)</f>
        <v/>
      </c>
      <c r="H31" s="152">
        <f>K30</f>
        <v/>
      </c>
      <c r="I31" s="159">
        <f>IF(H31&gt;0.005,H31*Debts!D9/12,0)</f>
        <v/>
      </c>
      <c r="J31" s="159" t="n">
        <v>0</v>
      </c>
      <c r="K31" s="152">
        <f>MAX(0,H31+I31-J31)</f>
        <v/>
      </c>
      <c r="L31" s="152">
        <f>O30</f>
        <v/>
      </c>
      <c r="M31" s="159">
        <f>IF(L31&gt;0.005,L31*Debts!D10/12,0)</f>
        <v/>
      </c>
      <c r="N31" s="159" t="n">
        <v>0</v>
      </c>
      <c r="O31" s="152">
        <f>MAX(0,L31+M31-N31)</f>
        <v/>
      </c>
      <c r="P31" s="152">
        <f>S30</f>
        <v/>
      </c>
      <c r="Q31" s="159">
        <f>IF(P31&gt;0.005,P31*Debts!D11/12,0)</f>
        <v/>
      </c>
      <c r="R31" s="159" t="n">
        <v>0</v>
      </c>
      <c r="S31" s="152">
        <f>MAX(0,P31+Q31-R31)</f>
        <v/>
      </c>
      <c r="T31" s="152">
        <f>W30</f>
        <v/>
      </c>
      <c r="U31" s="159">
        <f>IF(T31&gt;0.005,T31*Debts!D12/12,0)</f>
        <v/>
      </c>
      <c r="V31" s="159" t="n">
        <v>0</v>
      </c>
      <c r="W31" s="152">
        <f>MAX(0,T31+U31-V31)</f>
        <v/>
      </c>
      <c r="X31" s="152">
        <f>AA30</f>
        <v/>
      </c>
      <c r="Y31" s="159">
        <f>IF(X31&gt;0.005,X31*Debts!D13/12,0)</f>
        <v/>
      </c>
      <c r="Z31" s="159" t="n">
        <v>0</v>
      </c>
      <c r="AA31" s="152">
        <f>MAX(0,X31+Y31-Z31)</f>
        <v/>
      </c>
      <c r="AB31" s="152">
        <f>AE30</f>
        <v/>
      </c>
      <c r="AC31" s="159">
        <f>IF(AB31&gt;0.005,AB31*Debts!D14/12,0)</f>
        <v/>
      </c>
      <c r="AD31" s="159" t="n">
        <v>0</v>
      </c>
      <c r="AE31" s="152">
        <f>MAX(0,AB31+AC31-AD31)</f>
        <v/>
      </c>
      <c r="AF31" s="152">
        <f>AI30</f>
        <v/>
      </c>
      <c r="AG31" s="159">
        <f>IF(AF31&gt;0.005,AF31*Debts!D15/12,0)</f>
        <v/>
      </c>
      <c r="AH31" s="159" t="n">
        <v>0</v>
      </c>
      <c r="AI31" s="152">
        <f>MAX(0,AF31+AG31-AH31)</f>
        <v/>
      </c>
      <c r="AJ31" s="152">
        <f>AM30</f>
        <v/>
      </c>
      <c r="AK31" s="159">
        <f>IF(AJ31&gt;0.005,AJ31*Debts!D16/12,0)</f>
        <v/>
      </c>
      <c r="AL31" s="159" t="n">
        <v>0</v>
      </c>
      <c r="AM31" s="152">
        <f>MAX(0,AJ31+AK31-AL31)</f>
        <v/>
      </c>
      <c r="AN31" s="152">
        <f>AQ30</f>
        <v/>
      </c>
      <c r="AO31" s="159">
        <f>IF(AN31&gt;0.005,AN31*Debts!D17/12,0)</f>
        <v/>
      </c>
      <c r="AP31" s="159" t="n">
        <v>0</v>
      </c>
      <c r="AQ31" s="152">
        <f>MAX(0,AN31+AO31-AP31)</f>
        <v/>
      </c>
      <c r="AR31" s="152">
        <f>AU30</f>
        <v/>
      </c>
      <c r="AS31" s="159">
        <f>IF(AR31&gt;0.005,AR31*Debts!D18/12,0)</f>
        <v/>
      </c>
      <c r="AT31" s="159" t="n">
        <v>0</v>
      </c>
      <c r="AU31" s="152">
        <f>MAX(0,AR31+AS31-AT31)</f>
        <v/>
      </c>
      <c r="AV31" s="152">
        <f>AY30</f>
        <v/>
      </c>
      <c r="AW31" s="159">
        <f>IF(AV31&gt;0.005,AV31*Debts!D19/12,0)</f>
        <v/>
      </c>
      <c r="AX31" s="159" t="n">
        <v>0</v>
      </c>
      <c r="AY31" s="152">
        <f>MAX(0,AV31+AW31-AX31)</f>
        <v/>
      </c>
      <c r="AZ31" s="152">
        <f>BC30</f>
        <v/>
      </c>
      <c r="BA31" s="159">
        <f>IF(AZ31&gt;0.005,AZ31*Debts!D20/12,0)</f>
        <v/>
      </c>
      <c r="BB31" s="159" t="n">
        <v>0</v>
      </c>
      <c r="BC31" s="152">
        <f>MAX(0,AZ31+BA31-BB31)</f>
        <v/>
      </c>
      <c r="BD31" s="152">
        <f>BG30</f>
        <v/>
      </c>
      <c r="BE31" s="159">
        <f>IF(BD31&gt;0.005,BD31*Debts!D21/12,0)</f>
        <v/>
      </c>
      <c r="BF31" s="159" t="n">
        <v>0</v>
      </c>
      <c r="BG31" s="152">
        <f>MAX(0,BD31+BE31-BF31)</f>
        <v/>
      </c>
      <c r="BH31" s="152">
        <f>BK30</f>
        <v/>
      </c>
      <c r="BI31" s="159">
        <f>IF(BH31&gt;0.005,BH31*Debts!D22/12,0)</f>
        <v/>
      </c>
      <c r="BJ31" s="159" t="n">
        <v>0</v>
      </c>
      <c r="BK31" s="152">
        <f>MAX(0,BH31+BI31-BJ31)</f>
        <v/>
      </c>
      <c r="BL31" s="152">
        <f>BO30</f>
        <v/>
      </c>
      <c r="BM31" s="159">
        <f>IF(BL31&gt;0.005,BL31*Debts!D23/12,0)</f>
        <v/>
      </c>
      <c r="BN31" s="159" t="n">
        <v>0</v>
      </c>
      <c r="BO31" s="152">
        <f>MAX(0,BL31+BM31-BN31)</f>
        <v/>
      </c>
      <c r="BP31" s="152">
        <f>BS30</f>
        <v/>
      </c>
      <c r="BQ31" s="159">
        <f>IF(BP31&gt;0.005,BP31*Debts!D24/12,0)</f>
        <v/>
      </c>
      <c r="BR31" s="159" t="n">
        <v>0</v>
      </c>
      <c r="BS31" s="152">
        <f>MAX(0,BP31+BQ31-BR31)</f>
        <v/>
      </c>
      <c r="BT31" s="152">
        <f>BW30</f>
        <v/>
      </c>
      <c r="BU31" s="159">
        <f>IF(BT31&gt;0.005,BT31*Debts!D25/12,0)</f>
        <v/>
      </c>
      <c r="BV31" s="159" t="n">
        <v>0</v>
      </c>
      <c r="BW31" s="152">
        <f>MAX(0,BT31+BU31-BV31)</f>
        <v/>
      </c>
      <c r="BX31" s="152">
        <f>CA30</f>
        <v/>
      </c>
      <c r="BY31" s="159">
        <f>IF(BX31&gt;0.005,BX31*Debts!D26/12,0)</f>
        <v/>
      </c>
      <c r="BZ31" s="159" t="n">
        <v>0</v>
      </c>
      <c r="CA31" s="152">
        <f>MAX(0,BX31+BY31-BZ31)</f>
        <v/>
      </c>
      <c r="CB31" s="152">
        <f>CE30</f>
        <v/>
      </c>
      <c r="CC31" s="159">
        <f>IF(CB31&gt;0.005,CB31*Debts!D27/12,0)</f>
        <v/>
      </c>
      <c r="CD31" s="159" t="n">
        <v>0</v>
      </c>
      <c r="CE31" s="152">
        <f>MAX(0,CB31+CC31-CD31)</f>
        <v/>
      </c>
      <c r="CF31" s="152">
        <f>G31+K31+O31+S31+W31+AA31+AE31+AI31+AM31+AQ31+AU31+AY31+BC31+BG31+BK31+BO31+BS31+BW31+CA31+CE31</f>
        <v/>
      </c>
      <c r="CG31" s="159">
        <f>E31+I31+M31+Q31+U31+Y31+AC31+AG31+AK31+AO31+AS31+AW31+BA31+BE31+BI31+BM31+BQ31+BU31+BY31+CC31</f>
        <v/>
      </c>
      <c r="CH31" s="152">
        <f>CH30+CG31</f>
        <v/>
      </c>
      <c r="CI31" s="148" t="n"/>
      <c r="CJ31" s="148" t="n"/>
    </row>
    <row r="32" ht="15" customHeight="1" s="83">
      <c r="A32" s="148" t="n"/>
      <c r="B32" s="158" t="n">
        <v>28</v>
      </c>
      <c r="C32" s="152">
        <f>F32+J32+N32+R32+V32+Z32+AD32+AH32+AL32+AP32+AT32+AX32+BB32+BF32+BJ32+BN32+BR32+BV32+BZ32+CD32</f>
        <v/>
      </c>
      <c r="D32" s="152">
        <f>G31</f>
        <v/>
      </c>
      <c r="E32" s="159">
        <f>IF(D32&gt;0.005,D32*Debts!D8/12,0)</f>
        <v/>
      </c>
      <c r="F32" s="159" t="n">
        <v>0</v>
      </c>
      <c r="G32" s="152">
        <f>MAX(0,D32+E32-F32)</f>
        <v/>
      </c>
      <c r="H32" s="152">
        <f>K31</f>
        <v/>
      </c>
      <c r="I32" s="159">
        <f>IF(H32&gt;0.005,H32*Debts!D9/12,0)</f>
        <v/>
      </c>
      <c r="J32" s="159" t="n">
        <v>0</v>
      </c>
      <c r="K32" s="152">
        <f>MAX(0,H32+I32-J32)</f>
        <v/>
      </c>
      <c r="L32" s="152">
        <f>O31</f>
        <v/>
      </c>
      <c r="M32" s="159">
        <f>IF(L32&gt;0.005,L32*Debts!D10/12,0)</f>
        <v/>
      </c>
      <c r="N32" s="159" t="n">
        <v>0</v>
      </c>
      <c r="O32" s="152">
        <f>MAX(0,L32+M32-N32)</f>
        <v/>
      </c>
      <c r="P32" s="152">
        <f>S31</f>
        <v/>
      </c>
      <c r="Q32" s="159">
        <f>IF(P32&gt;0.005,P32*Debts!D11/12,0)</f>
        <v/>
      </c>
      <c r="R32" s="159" t="n">
        <v>0</v>
      </c>
      <c r="S32" s="152">
        <f>MAX(0,P32+Q32-R32)</f>
        <v/>
      </c>
      <c r="T32" s="152">
        <f>W31</f>
        <v/>
      </c>
      <c r="U32" s="159">
        <f>IF(T32&gt;0.005,T32*Debts!D12/12,0)</f>
        <v/>
      </c>
      <c r="V32" s="159" t="n">
        <v>0</v>
      </c>
      <c r="W32" s="152">
        <f>MAX(0,T32+U32-V32)</f>
        <v/>
      </c>
      <c r="X32" s="152">
        <f>AA31</f>
        <v/>
      </c>
      <c r="Y32" s="159">
        <f>IF(X32&gt;0.005,X32*Debts!D13/12,0)</f>
        <v/>
      </c>
      <c r="Z32" s="159" t="n">
        <v>0</v>
      </c>
      <c r="AA32" s="152">
        <f>MAX(0,X32+Y32-Z32)</f>
        <v/>
      </c>
      <c r="AB32" s="152">
        <f>AE31</f>
        <v/>
      </c>
      <c r="AC32" s="159">
        <f>IF(AB32&gt;0.005,AB32*Debts!D14/12,0)</f>
        <v/>
      </c>
      <c r="AD32" s="159" t="n">
        <v>0</v>
      </c>
      <c r="AE32" s="152">
        <f>MAX(0,AB32+AC32-AD32)</f>
        <v/>
      </c>
      <c r="AF32" s="152">
        <f>AI31</f>
        <v/>
      </c>
      <c r="AG32" s="159">
        <f>IF(AF32&gt;0.005,AF32*Debts!D15/12,0)</f>
        <v/>
      </c>
      <c r="AH32" s="159" t="n">
        <v>0</v>
      </c>
      <c r="AI32" s="152">
        <f>MAX(0,AF32+AG32-AH32)</f>
        <v/>
      </c>
      <c r="AJ32" s="152">
        <f>AM31</f>
        <v/>
      </c>
      <c r="AK32" s="159">
        <f>IF(AJ32&gt;0.005,AJ32*Debts!D16/12,0)</f>
        <v/>
      </c>
      <c r="AL32" s="159" t="n">
        <v>0</v>
      </c>
      <c r="AM32" s="152">
        <f>MAX(0,AJ32+AK32-AL32)</f>
        <v/>
      </c>
      <c r="AN32" s="152">
        <f>AQ31</f>
        <v/>
      </c>
      <c r="AO32" s="159">
        <f>IF(AN32&gt;0.005,AN32*Debts!D17/12,0)</f>
        <v/>
      </c>
      <c r="AP32" s="159" t="n">
        <v>0</v>
      </c>
      <c r="AQ32" s="152">
        <f>MAX(0,AN32+AO32-AP32)</f>
        <v/>
      </c>
      <c r="AR32" s="152">
        <f>AU31</f>
        <v/>
      </c>
      <c r="AS32" s="159">
        <f>IF(AR32&gt;0.005,AR32*Debts!D18/12,0)</f>
        <v/>
      </c>
      <c r="AT32" s="159" t="n">
        <v>0</v>
      </c>
      <c r="AU32" s="152">
        <f>MAX(0,AR32+AS32-AT32)</f>
        <v/>
      </c>
      <c r="AV32" s="152">
        <f>AY31</f>
        <v/>
      </c>
      <c r="AW32" s="159">
        <f>IF(AV32&gt;0.005,AV32*Debts!D19/12,0)</f>
        <v/>
      </c>
      <c r="AX32" s="159" t="n">
        <v>0</v>
      </c>
      <c r="AY32" s="152">
        <f>MAX(0,AV32+AW32-AX32)</f>
        <v/>
      </c>
      <c r="AZ32" s="152">
        <f>BC31</f>
        <v/>
      </c>
      <c r="BA32" s="159">
        <f>IF(AZ32&gt;0.005,AZ32*Debts!D20/12,0)</f>
        <v/>
      </c>
      <c r="BB32" s="159" t="n">
        <v>0</v>
      </c>
      <c r="BC32" s="152">
        <f>MAX(0,AZ32+BA32-BB32)</f>
        <v/>
      </c>
      <c r="BD32" s="152">
        <f>BG31</f>
        <v/>
      </c>
      <c r="BE32" s="159">
        <f>IF(BD32&gt;0.005,BD32*Debts!D21/12,0)</f>
        <v/>
      </c>
      <c r="BF32" s="159" t="n">
        <v>0</v>
      </c>
      <c r="BG32" s="152">
        <f>MAX(0,BD32+BE32-BF32)</f>
        <v/>
      </c>
      <c r="BH32" s="152">
        <f>BK31</f>
        <v/>
      </c>
      <c r="BI32" s="159">
        <f>IF(BH32&gt;0.005,BH32*Debts!D22/12,0)</f>
        <v/>
      </c>
      <c r="BJ32" s="159" t="n">
        <v>0</v>
      </c>
      <c r="BK32" s="152">
        <f>MAX(0,BH32+BI32-BJ32)</f>
        <v/>
      </c>
      <c r="BL32" s="152">
        <f>BO31</f>
        <v/>
      </c>
      <c r="BM32" s="159">
        <f>IF(BL32&gt;0.005,BL32*Debts!D23/12,0)</f>
        <v/>
      </c>
      <c r="BN32" s="159" t="n">
        <v>0</v>
      </c>
      <c r="BO32" s="152">
        <f>MAX(0,BL32+BM32-BN32)</f>
        <v/>
      </c>
      <c r="BP32" s="152">
        <f>BS31</f>
        <v/>
      </c>
      <c r="BQ32" s="159">
        <f>IF(BP32&gt;0.005,BP32*Debts!D24/12,0)</f>
        <v/>
      </c>
      <c r="BR32" s="159" t="n">
        <v>0</v>
      </c>
      <c r="BS32" s="152">
        <f>MAX(0,BP32+BQ32-BR32)</f>
        <v/>
      </c>
      <c r="BT32" s="152">
        <f>BW31</f>
        <v/>
      </c>
      <c r="BU32" s="159">
        <f>IF(BT32&gt;0.005,BT32*Debts!D25/12,0)</f>
        <v/>
      </c>
      <c r="BV32" s="159" t="n">
        <v>0</v>
      </c>
      <c r="BW32" s="152">
        <f>MAX(0,BT32+BU32-BV32)</f>
        <v/>
      </c>
      <c r="BX32" s="152">
        <f>CA31</f>
        <v/>
      </c>
      <c r="BY32" s="159">
        <f>IF(BX32&gt;0.005,BX32*Debts!D26/12,0)</f>
        <v/>
      </c>
      <c r="BZ32" s="159" t="n">
        <v>0</v>
      </c>
      <c r="CA32" s="152">
        <f>MAX(0,BX32+BY32-BZ32)</f>
        <v/>
      </c>
      <c r="CB32" s="152">
        <f>CE31</f>
        <v/>
      </c>
      <c r="CC32" s="159">
        <f>IF(CB32&gt;0.005,CB32*Debts!D27/12,0)</f>
        <v/>
      </c>
      <c r="CD32" s="159" t="n">
        <v>0</v>
      </c>
      <c r="CE32" s="152">
        <f>MAX(0,CB32+CC32-CD32)</f>
        <v/>
      </c>
      <c r="CF32" s="152">
        <f>G32+K32+O32+S32+W32+AA32+AE32+AI32+AM32+AQ32+AU32+AY32+BC32+BG32+BK32+BO32+BS32+BW32+CA32+CE32</f>
        <v/>
      </c>
      <c r="CG32" s="159">
        <f>E32+I32+M32+Q32+U32+Y32+AC32+AG32+AK32+AO32+AS32+AW32+BA32+BE32+BI32+BM32+BQ32+BU32+BY32+CC32</f>
        <v/>
      </c>
      <c r="CH32" s="152">
        <f>CH31+CG32</f>
        <v/>
      </c>
      <c r="CI32" s="148" t="n"/>
      <c r="CJ32" s="148" t="n"/>
    </row>
    <row r="33" ht="15" customHeight="1" s="83">
      <c r="A33" s="148" t="n"/>
      <c r="B33" s="158" t="n">
        <v>29</v>
      </c>
      <c r="C33" s="152">
        <f>F33+J33+N33+R33+V33+Z33+AD33+AH33+AL33+AP33+AT33+AX33+BB33+BF33+BJ33+BN33+BR33+BV33+BZ33+CD33</f>
        <v/>
      </c>
      <c r="D33" s="152">
        <f>G32</f>
        <v/>
      </c>
      <c r="E33" s="159">
        <f>IF(D33&gt;0.005,D33*Debts!D8/12,0)</f>
        <v/>
      </c>
      <c r="F33" s="159" t="n">
        <v>0</v>
      </c>
      <c r="G33" s="152">
        <f>MAX(0,D33+E33-F33)</f>
        <v/>
      </c>
      <c r="H33" s="152">
        <f>K32</f>
        <v/>
      </c>
      <c r="I33" s="159">
        <f>IF(H33&gt;0.005,H33*Debts!D9/12,0)</f>
        <v/>
      </c>
      <c r="J33" s="159" t="n">
        <v>0</v>
      </c>
      <c r="K33" s="152">
        <f>MAX(0,H33+I33-J33)</f>
        <v/>
      </c>
      <c r="L33" s="152">
        <f>O32</f>
        <v/>
      </c>
      <c r="M33" s="159">
        <f>IF(L33&gt;0.005,L33*Debts!D10/12,0)</f>
        <v/>
      </c>
      <c r="N33" s="159" t="n">
        <v>0</v>
      </c>
      <c r="O33" s="152">
        <f>MAX(0,L33+M33-N33)</f>
        <v/>
      </c>
      <c r="P33" s="152">
        <f>S32</f>
        <v/>
      </c>
      <c r="Q33" s="159">
        <f>IF(P33&gt;0.005,P33*Debts!D11/12,0)</f>
        <v/>
      </c>
      <c r="R33" s="159" t="n">
        <v>0</v>
      </c>
      <c r="S33" s="152">
        <f>MAX(0,P33+Q33-R33)</f>
        <v/>
      </c>
      <c r="T33" s="152">
        <f>W32</f>
        <v/>
      </c>
      <c r="U33" s="159">
        <f>IF(T33&gt;0.005,T33*Debts!D12/12,0)</f>
        <v/>
      </c>
      <c r="V33" s="159" t="n">
        <v>0</v>
      </c>
      <c r="W33" s="152">
        <f>MAX(0,T33+U33-V33)</f>
        <v/>
      </c>
      <c r="X33" s="152">
        <f>AA32</f>
        <v/>
      </c>
      <c r="Y33" s="159">
        <f>IF(X33&gt;0.005,X33*Debts!D13/12,0)</f>
        <v/>
      </c>
      <c r="Z33" s="159" t="n">
        <v>0</v>
      </c>
      <c r="AA33" s="152">
        <f>MAX(0,X33+Y33-Z33)</f>
        <v/>
      </c>
      <c r="AB33" s="152">
        <f>AE32</f>
        <v/>
      </c>
      <c r="AC33" s="159">
        <f>IF(AB33&gt;0.005,AB33*Debts!D14/12,0)</f>
        <v/>
      </c>
      <c r="AD33" s="159" t="n">
        <v>0</v>
      </c>
      <c r="AE33" s="152">
        <f>MAX(0,AB33+AC33-AD33)</f>
        <v/>
      </c>
      <c r="AF33" s="152">
        <f>AI32</f>
        <v/>
      </c>
      <c r="AG33" s="159">
        <f>IF(AF33&gt;0.005,AF33*Debts!D15/12,0)</f>
        <v/>
      </c>
      <c r="AH33" s="159" t="n">
        <v>0</v>
      </c>
      <c r="AI33" s="152">
        <f>MAX(0,AF33+AG33-AH33)</f>
        <v/>
      </c>
      <c r="AJ33" s="152">
        <f>AM32</f>
        <v/>
      </c>
      <c r="AK33" s="159">
        <f>IF(AJ33&gt;0.005,AJ33*Debts!D16/12,0)</f>
        <v/>
      </c>
      <c r="AL33" s="159" t="n">
        <v>0</v>
      </c>
      <c r="AM33" s="152">
        <f>MAX(0,AJ33+AK33-AL33)</f>
        <v/>
      </c>
      <c r="AN33" s="152">
        <f>AQ32</f>
        <v/>
      </c>
      <c r="AO33" s="159">
        <f>IF(AN33&gt;0.005,AN33*Debts!D17/12,0)</f>
        <v/>
      </c>
      <c r="AP33" s="159" t="n">
        <v>0</v>
      </c>
      <c r="AQ33" s="152">
        <f>MAX(0,AN33+AO33-AP33)</f>
        <v/>
      </c>
      <c r="AR33" s="152">
        <f>AU32</f>
        <v/>
      </c>
      <c r="AS33" s="159">
        <f>IF(AR33&gt;0.005,AR33*Debts!D18/12,0)</f>
        <v/>
      </c>
      <c r="AT33" s="159" t="n">
        <v>0</v>
      </c>
      <c r="AU33" s="152">
        <f>MAX(0,AR33+AS33-AT33)</f>
        <v/>
      </c>
      <c r="AV33" s="152">
        <f>AY32</f>
        <v/>
      </c>
      <c r="AW33" s="159">
        <f>IF(AV33&gt;0.005,AV33*Debts!D19/12,0)</f>
        <v/>
      </c>
      <c r="AX33" s="159" t="n">
        <v>0</v>
      </c>
      <c r="AY33" s="152">
        <f>MAX(0,AV33+AW33-AX33)</f>
        <v/>
      </c>
      <c r="AZ33" s="152">
        <f>BC32</f>
        <v/>
      </c>
      <c r="BA33" s="159">
        <f>IF(AZ33&gt;0.005,AZ33*Debts!D20/12,0)</f>
        <v/>
      </c>
      <c r="BB33" s="159" t="n">
        <v>0</v>
      </c>
      <c r="BC33" s="152">
        <f>MAX(0,AZ33+BA33-BB33)</f>
        <v/>
      </c>
      <c r="BD33" s="152">
        <f>BG32</f>
        <v/>
      </c>
      <c r="BE33" s="159">
        <f>IF(BD33&gt;0.005,BD33*Debts!D21/12,0)</f>
        <v/>
      </c>
      <c r="BF33" s="159" t="n">
        <v>0</v>
      </c>
      <c r="BG33" s="152">
        <f>MAX(0,BD33+BE33-BF33)</f>
        <v/>
      </c>
      <c r="BH33" s="152">
        <f>BK32</f>
        <v/>
      </c>
      <c r="BI33" s="159">
        <f>IF(BH33&gt;0.005,BH33*Debts!D22/12,0)</f>
        <v/>
      </c>
      <c r="BJ33" s="159" t="n">
        <v>0</v>
      </c>
      <c r="BK33" s="152">
        <f>MAX(0,BH33+BI33-BJ33)</f>
        <v/>
      </c>
      <c r="BL33" s="152">
        <f>BO32</f>
        <v/>
      </c>
      <c r="BM33" s="159">
        <f>IF(BL33&gt;0.005,BL33*Debts!D23/12,0)</f>
        <v/>
      </c>
      <c r="BN33" s="159" t="n">
        <v>0</v>
      </c>
      <c r="BO33" s="152">
        <f>MAX(0,BL33+BM33-BN33)</f>
        <v/>
      </c>
      <c r="BP33" s="152">
        <f>BS32</f>
        <v/>
      </c>
      <c r="BQ33" s="159">
        <f>IF(BP33&gt;0.005,BP33*Debts!D24/12,0)</f>
        <v/>
      </c>
      <c r="BR33" s="159" t="n">
        <v>0</v>
      </c>
      <c r="BS33" s="152">
        <f>MAX(0,BP33+BQ33-BR33)</f>
        <v/>
      </c>
      <c r="BT33" s="152">
        <f>BW32</f>
        <v/>
      </c>
      <c r="BU33" s="159">
        <f>IF(BT33&gt;0.005,BT33*Debts!D25/12,0)</f>
        <v/>
      </c>
      <c r="BV33" s="159" t="n">
        <v>0</v>
      </c>
      <c r="BW33" s="152">
        <f>MAX(0,BT33+BU33-BV33)</f>
        <v/>
      </c>
      <c r="BX33" s="152">
        <f>CA32</f>
        <v/>
      </c>
      <c r="BY33" s="159">
        <f>IF(BX33&gt;0.005,BX33*Debts!D26/12,0)</f>
        <v/>
      </c>
      <c r="BZ33" s="159" t="n">
        <v>0</v>
      </c>
      <c r="CA33" s="152">
        <f>MAX(0,BX33+BY33-BZ33)</f>
        <v/>
      </c>
      <c r="CB33" s="152">
        <f>CE32</f>
        <v/>
      </c>
      <c r="CC33" s="159">
        <f>IF(CB33&gt;0.005,CB33*Debts!D27/12,0)</f>
        <v/>
      </c>
      <c r="CD33" s="159" t="n">
        <v>0</v>
      </c>
      <c r="CE33" s="152">
        <f>MAX(0,CB33+CC33-CD33)</f>
        <v/>
      </c>
      <c r="CF33" s="152">
        <f>G33+K33+O33+S33+W33+AA33+AE33+AI33+AM33+AQ33+AU33+AY33+BC33+BG33+BK33+BO33+BS33+BW33+CA33+CE33</f>
        <v/>
      </c>
      <c r="CG33" s="159">
        <f>E33+I33+M33+Q33+U33+Y33+AC33+AG33+AK33+AO33+AS33+AW33+BA33+BE33+BI33+BM33+BQ33+BU33+BY33+CC33</f>
        <v/>
      </c>
      <c r="CH33" s="152">
        <f>CH32+CG33</f>
        <v/>
      </c>
      <c r="CI33" s="148" t="n"/>
      <c r="CJ33" s="148" t="n"/>
    </row>
    <row r="34" ht="15" customHeight="1" s="83">
      <c r="A34" s="148" t="n"/>
      <c r="B34" s="158" t="n">
        <v>30</v>
      </c>
      <c r="C34" s="152">
        <f>F34+J34+N34+R34+V34+Z34+AD34+AH34+AL34+AP34+AT34+AX34+BB34+BF34+BJ34+BN34+BR34+BV34+BZ34+CD34</f>
        <v/>
      </c>
      <c r="D34" s="152">
        <f>G33</f>
        <v/>
      </c>
      <c r="E34" s="159">
        <f>IF(D34&gt;0.005,D34*Debts!D8/12,0)</f>
        <v/>
      </c>
      <c r="F34" s="159" t="n">
        <v>0</v>
      </c>
      <c r="G34" s="152">
        <f>MAX(0,D34+E34-F34)</f>
        <v/>
      </c>
      <c r="H34" s="152">
        <f>K33</f>
        <v/>
      </c>
      <c r="I34" s="159">
        <f>IF(H34&gt;0.005,H34*Debts!D9/12,0)</f>
        <v/>
      </c>
      <c r="J34" s="159" t="n">
        <v>0</v>
      </c>
      <c r="K34" s="152">
        <f>MAX(0,H34+I34-J34)</f>
        <v/>
      </c>
      <c r="L34" s="152">
        <f>O33</f>
        <v/>
      </c>
      <c r="M34" s="159">
        <f>IF(L34&gt;0.005,L34*Debts!D10/12,0)</f>
        <v/>
      </c>
      <c r="N34" s="159" t="n">
        <v>0</v>
      </c>
      <c r="O34" s="152">
        <f>MAX(0,L34+M34-N34)</f>
        <v/>
      </c>
      <c r="P34" s="152">
        <f>S33</f>
        <v/>
      </c>
      <c r="Q34" s="159">
        <f>IF(P34&gt;0.005,P34*Debts!D11/12,0)</f>
        <v/>
      </c>
      <c r="R34" s="159" t="n">
        <v>0</v>
      </c>
      <c r="S34" s="152">
        <f>MAX(0,P34+Q34-R34)</f>
        <v/>
      </c>
      <c r="T34" s="152">
        <f>W33</f>
        <v/>
      </c>
      <c r="U34" s="159">
        <f>IF(T34&gt;0.005,T34*Debts!D12/12,0)</f>
        <v/>
      </c>
      <c r="V34" s="159" t="n">
        <v>0</v>
      </c>
      <c r="W34" s="152">
        <f>MAX(0,T34+U34-V34)</f>
        <v/>
      </c>
      <c r="X34" s="152">
        <f>AA33</f>
        <v/>
      </c>
      <c r="Y34" s="159">
        <f>IF(X34&gt;0.005,X34*Debts!D13/12,0)</f>
        <v/>
      </c>
      <c r="Z34" s="159" t="n">
        <v>0</v>
      </c>
      <c r="AA34" s="152">
        <f>MAX(0,X34+Y34-Z34)</f>
        <v/>
      </c>
      <c r="AB34" s="152">
        <f>AE33</f>
        <v/>
      </c>
      <c r="AC34" s="159">
        <f>IF(AB34&gt;0.005,AB34*Debts!D14/12,0)</f>
        <v/>
      </c>
      <c r="AD34" s="159" t="n">
        <v>0</v>
      </c>
      <c r="AE34" s="152">
        <f>MAX(0,AB34+AC34-AD34)</f>
        <v/>
      </c>
      <c r="AF34" s="152">
        <f>AI33</f>
        <v/>
      </c>
      <c r="AG34" s="159">
        <f>IF(AF34&gt;0.005,AF34*Debts!D15/12,0)</f>
        <v/>
      </c>
      <c r="AH34" s="159" t="n">
        <v>0</v>
      </c>
      <c r="AI34" s="152">
        <f>MAX(0,AF34+AG34-AH34)</f>
        <v/>
      </c>
      <c r="AJ34" s="152">
        <f>AM33</f>
        <v/>
      </c>
      <c r="AK34" s="159">
        <f>IF(AJ34&gt;0.005,AJ34*Debts!D16/12,0)</f>
        <v/>
      </c>
      <c r="AL34" s="159" t="n">
        <v>0</v>
      </c>
      <c r="AM34" s="152">
        <f>MAX(0,AJ34+AK34-AL34)</f>
        <v/>
      </c>
      <c r="AN34" s="152">
        <f>AQ33</f>
        <v/>
      </c>
      <c r="AO34" s="159">
        <f>IF(AN34&gt;0.005,AN34*Debts!D17/12,0)</f>
        <v/>
      </c>
      <c r="AP34" s="159" t="n">
        <v>0</v>
      </c>
      <c r="AQ34" s="152">
        <f>MAX(0,AN34+AO34-AP34)</f>
        <v/>
      </c>
      <c r="AR34" s="152">
        <f>AU33</f>
        <v/>
      </c>
      <c r="AS34" s="159">
        <f>IF(AR34&gt;0.005,AR34*Debts!D18/12,0)</f>
        <v/>
      </c>
      <c r="AT34" s="159" t="n">
        <v>0</v>
      </c>
      <c r="AU34" s="152">
        <f>MAX(0,AR34+AS34-AT34)</f>
        <v/>
      </c>
      <c r="AV34" s="152">
        <f>AY33</f>
        <v/>
      </c>
      <c r="AW34" s="159">
        <f>IF(AV34&gt;0.005,AV34*Debts!D19/12,0)</f>
        <v/>
      </c>
      <c r="AX34" s="159" t="n">
        <v>0</v>
      </c>
      <c r="AY34" s="152">
        <f>MAX(0,AV34+AW34-AX34)</f>
        <v/>
      </c>
      <c r="AZ34" s="152">
        <f>BC33</f>
        <v/>
      </c>
      <c r="BA34" s="159">
        <f>IF(AZ34&gt;0.005,AZ34*Debts!D20/12,0)</f>
        <v/>
      </c>
      <c r="BB34" s="159" t="n">
        <v>0</v>
      </c>
      <c r="BC34" s="152">
        <f>MAX(0,AZ34+BA34-BB34)</f>
        <v/>
      </c>
      <c r="BD34" s="152">
        <f>BG33</f>
        <v/>
      </c>
      <c r="BE34" s="159">
        <f>IF(BD34&gt;0.005,BD34*Debts!D21/12,0)</f>
        <v/>
      </c>
      <c r="BF34" s="159" t="n">
        <v>0</v>
      </c>
      <c r="BG34" s="152">
        <f>MAX(0,BD34+BE34-BF34)</f>
        <v/>
      </c>
      <c r="BH34" s="152">
        <f>BK33</f>
        <v/>
      </c>
      <c r="BI34" s="159">
        <f>IF(BH34&gt;0.005,BH34*Debts!D22/12,0)</f>
        <v/>
      </c>
      <c r="BJ34" s="159" t="n">
        <v>0</v>
      </c>
      <c r="BK34" s="152">
        <f>MAX(0,BH34+BI34-BJ34)</f>
        <v/>
      </c>
      <c r="BL34" s="152">
        <f>BO33</f>
        <v/>
      </c>
      <c r="BM34" s="159">
        <f>IF(BL34&gt;0.005,BL34*Debts!D23/12,0)</f>
        <v/>
      </c>
      <c r="BN34" s="159" t="n">
        <v>0</v>
      </c>
      <c r="BO34" s="152">
        <f>MAX(0,BL34+BM34-BN34)</f>
        <v/>
      </c>
      <c r="BP34" s="152">
        <f>BS33</f>
        <v/>
      </c>
      <c r="BQ34" s="159">
        <f>IF(BP34&gt;0.005,BP34*Debts!D24/12,0)</f>
        <v/>
      </c>
      <c r="BR34" s="159" t="n">
        <v>0</v>
      </c>
      <c r="BS34" s="152">
        <f>MAX(0,BP34+BQ34-BR34)</f>
        <v/>
      </c>
      <c r="BT34" s="152">
        <f>BW33</f>
        <v/>
      </c>
      <c r="BU34" s="159">
        <f>IF(BT34&gt;0.005,BT34*Debts!D25/12,0)</f>
        <v/>
      </c>
      <c r="BV34" s="159" t="n">
        <v>0</v>
      </c>
      <c r="BW34" s="152">
        <f>MAX(0,BT34+BU34-BV34)</f>
        <v/>
      </c>
      <c r="BX34" s="152">
        <f>CA33</f>
        <v/>
      </c>
      <c r="BY34" s="159">
        <f>IF(BX34&gt;0.005,BX34*Debts!D26/12,0)</f>
        <v/>
      </c>
      <c r="BZ34" s="159" t="n">
        <v>0</v>
      </c>
      <c r="CA34" s="152">
        <f>MAX(0,BX34+BY34-BZ34)</f>
        <v/>
      </c>
      <c r="CB34" s="152">
        <f>CE33</f>
        <v/>
      </c>
      <c r="CC34" s="159">
        <f>IF(CB34&gt;0.005,CB34*Debts!D27/12,0)</f>
        <v/>
      </c>
      <c r="CD34" s="159" t="n">
        <v>0</v>
      </c>
      <c r="CE34" s="152">
        <f>MAX(0,CB34+CC34-CD34)</f>
        <v/>
      </c>
      <c r="CF34" s="152">
        <f>G34+K34+O34+S34+W34+AA34+AE34+AI34+AM34+AQ34+AU34+AY34+BC34+BG34+BK34+BO34+BS34+BW34+CA34+CE34</f>
        <v/>
      </c>
      <c r="CG34" s="159">
        <f>E34+I34+M34+Q34+U34+Y34+AC34+AG34+AK34+AO34+AS34+AW34+BA34+BE34+BI34+BM34+BQ34+BU34+BY34+CC34</f>
        <v/>
      </c>
      <c r="CH34" s="152">
        <f>CH33+CG34</f>
        <v/>
      </c>
      <c r="CI34" s="148" t="n"/>
      <c r="CJ34" s="148" t="n"/>
    </row>
    <row r="35" ht="15" customHeight="1" s="83">
      <c r="A35" s="148" t="n"/>
      <c r="B35" s="158" t="n">
        <v>31</v>
      </c>
      <c r="C35" s="152">
        <f>F35+J35+N35+R35+V35+Z35+AD35+AH35+AL35+AP35+AT35+AX35+BB35+BF35+BJ35+BN35+BR35+BV35+BZ35+CD35</f>
        <v/>
      </c>
      <c r="D35" s="152">
        <f>G34</f>
        <v/>
      </c>
      <c r="E35" s="159">
        <f>IF(D35&gt;0.005,D35*Debts!D8/12,0)</f>
        <v/>
      </c>
      <c r="F35" s="159" t="n">
        <v>0</v>
      </c>
      <c r="G35" s="152">
        <f>MAX(0,D35+E35-F35)</f>
        <v/>
      </c>
      <c r="H35" s="152">
        <f>K34</f>
        <v/>
      </c>
      <c r="I35" s="159">
        <f>IF(H35&gt;0.005,H35*Debts!D9/12,0)</f>
        <v/>
      </c>
      <c r="J35" s="159" t="n">
        <v>0</v>
      </c>
      <c r="K35" s="152">
        <f>MAX(0,H35+I35-J35)</f>
        <v/>
      </c>
      <c r="L35" s="152">
        <f>O34</f>
        <v/>
      </c>
      <c r="M35" s="159">
        <f>IF(L35&gt;0.005,L35*Debts!D10/12,0)</f>
        <v/>
      </c>
      <c r="N35" s="159" t="n">
        <v>0</v>
      </c>
      <c r="O35" s="152">
        <f>MAX(0,L35+M35-N35)</f>
        <v/>
      </c>
      <c r="P35" s="152">
        <f>S34</f>
        <v/>
      </c>
      <c r="Q35" s="159">
        <f>IF(P35&gt;0.005,P35*Debts!D11/12,0)</f>
        <v/>
      </c>
      <c r="R35" s="159" t="n">
        <v>0</v>
      </c>
      <c r="S35" s="152">
        <f>MAX(0,P35+Q35-R35)</f>
        <v/>
      </c>
      <c r="T35" s="152">
        <f>W34</f>
        <v/>
      </c>
      <c r="U35" s="159">
        <f>IF(T35&gt;0.005,T35*Debts!D12/12,0)</f>
        <v/>
      </c>
      <c r="V35" s="159" t="n">
        <v>0</v>
      </c>
      <c r="W35" s="152">
        <f>MAX(0,T35+U35-V35)</f>
        <v/>
      </c>
      <c r="X35" s="152">
        <f>AA34</f>
        <v/>
      </c>
      <c r="Y35" s="159">
        <f>IF(X35&gt;0.005,X35*Debts!D13/12,0)</f>
        <v/>
      </c>
      <c r="Z35" s="159" t="n">
        <v>0</v>
      </c>
      <c r="AA35" s="152">
        <f>MAX(0,X35+Y35-Z35)</f>
        <v/>
      </c>
      <c r="AB35" s="152">
        <f>AE34</f>
        <v/>
      </c>
      <c r="AC35" s="159">
        <f>IF(AB35&gt;0.005,AB35*Debts!D14/12,0)</f>
        <v/>
      </c>
      <c r="AD35" s="159" t="n">
        <v>0</v>
      </c>
      <c r="AE35" s="152">
        <f>MAX(0,AB35+AC35-AD35)</f>
        <v/>
      </c>
      <c r="AF35" s="152">
        <f>AI34</f>
        <v/>
      </c>
      <c r="AG35" s="159">
        <f>IF(AF35&gt;0.005,AF35*Debts!D15/12,0)</f>
        <v/>
      </c>
      <c r="AH35" s="159" t="n">
        <v>0</v>
      </c>
      <c r="AI35" s="152">
        <f>MAX(0,AF35+AG35-AH35)</f>
        <v/>
      </c>
      <c r="AJ35" s="152">
        <f>AM34</f>
        <v/>
      </c>
      <c r="AK35" s="159">
        <f>IF(AJ35&gt;0.005,AJ35*Debts!D16/12,0)</f>
        <v/>
      </c>
      <c r="AL35" s="159" t="n">
        <v>0</v>
      </c>
      <c r="AM35" s="152">
        <f>MAX(0,AJ35+AK35-AL35)</f>
        <v/>
      </c>
      <c r="AN35" s="152">
        <f>AQ34</f>
        <v/>
      </c>
      <c r="AO35" s="159">
        <f>IF(AN35&gt;0.005,AN35*Debts!D17/12,0)</f>
        <v/>
      </c>
      <c r="AP35" s="159" t="n">
        <v>0</v>
      </c>
      <c r="AQ35" s="152">
        <f>MAX(0,AN35+AO35-AP35)</f>
        <v/>
      </c>
      <c r="AR35" s="152">
        <f>AU34</f>
        <v/>
      </c>
      <c r="AS35" s="159">
        <f>IF(AR35&gt;0.005,AR35*Debts!D18/12,0)</f>
        <v/>
      </c>
      <c r="AT35" s="159" t="n">
        <v>0</v>
      </c>
      <c r="AU35" s="152">
        <f>MAX(0,AR35+AS35-AT35)</f>
        <v/>
      </c>
      <c r="AV35" s="152">
        <f>AY34</f>
        <v/>
      </c>
      <c r="AW35" s="159">
        <f>IF(AV35&gt;0.005,AV35*Debts!D19/12,0)</f>
        <v/>
      </c>
      <c r="AX35" s="159" t="n">
        <v>0</v>
      </c>
      <c r="AY35" s="152">
        <f>MAX(0,AV35+AW35-AX35)</f>
        <v/>
      </c>
      <c r="AZ35" s="152">
        <f>BC34</f>
        <v/>
      </c>
      <c r="BA35" s="159">
        <f>IF(AZ35&gt;0.005,AZ35*Debts!D20/12,0)</f>
        <v/>
      </c>
      <c r="BB35" s="159" t="n">
        <v>0</v>
      </c>
      <c r="BC35" s="152">
        <f>MAX(0,AZ35+BA35-BB35)</f>
        <v/>
      </c>
      <c r="BD35" s="152">
        <f>BG34</f>
        <v/>
      </c>
      <c r="BE35" s="159">
        <f>IF(BD35&gt;0.005,BD35*Debts!D21/12,0)</f>
        <v/>
      </c>
      <c r="BF35" s="159" t="n">
        <v>0</v>
      </c>
      <c r="BG35" s="152">
        <f>MAX(0,BD35+BE35-BF35)</f>
        <v/>
      </c>
      <c r="BH35" s="152">
        <f>BK34</f>
        <v/>
      </c>
      <c r="BI35" s="159">
        <f>IF(BH35&gt;0.005,BH35*Debts!D22/12,0)</f>
        <v/>
      </c>
      <c r="BJ35" s="159" t="n">
        <v>0</v>
      </c>
      <c r="BK35" s="152">
        <f>MAX(0,BH35+BI35-BJ35)</f>
        <v/>
      </c>
      <c r="BL35" s="152">
        <f>BO34</f>
        <v/>
      </c>
      <c r="BM35" s="159">
        <f>IF(BL35&gt;0.005,BL35*Debts!D23/12,0)</f>
        <v/>
      </c>
      <c r="BN35" s="159" t="n">
        <v>0</v>
      </c>
      <c r="BO35" s="152">
        <f>MAX(0,BL35+BM35-BN35)</f>
        <v/>
      </c>
      <c r="BP35" s="152">
        <f>BS34</f>
        <v/>
      </c>
      <c r="BQ35" s="159">
        <f>IF(BP35&gt;0.005,BP35*Debts!D24/12,0)</f>
        <v/>
      </c>
      <c r="BR35" s="159" t="n">
        <v>0</v>
      </c>
      <c r="BS35" s="152">
        <f>MAX(0,BP35+BQ35-BR35)</f>
        <v/>
      </c>
      <c r="BT35" s="152">
        <f>BW34</f>
        <v/>
      </c>
      <c r="BU35" s="159">
        <f>IF(BT35&gt;0.005,BT35*Debts!D25/12,0)</f>
        <v/>
      </c>
      <c r="BV35" s="159" t="n">
        <v>0</v>
      </c>
      <c r="BW35" s="152">
        <f>MAX(0,BT35+BU35-BV35)</f>
        <v/>
      </c>
      <c r="BX35" s="152">
        <f>CA34</f>
        <v/>
      </c>
      <c r="BY35" s="159">
        <f>IF(BX35&gt;0.005,BX35*Debts!D26/12,0)</f>
        <v/>
      </c>
      <c r="BZ35" s="159" t="n">
        <v>0</v>
      </c>
      <c r="CA35" s="152">
        <f>MAX(0,BX35+BY35-BZ35)</f>
        <v/>
      </c>
      <c r="CB35" s="152">
        <f>CE34</f>
        <v/>
      </c>
      <c r="CC35" s="159">
        <f>IF(CB35&gt;0.005,CB35*Debts!D27/12,0)</f>
        <v/>
      </c>
      <c r="CD35" s="159" t="n">
        <v>0</v>
      </c>
      <c r="CE35" s="152">
        <f>MAX(0,CB35+CC35-CD35)</f>
        <v/>
      </c>
      <c r="CF35" s="152">
        <f>G35+K35+O35+S35+W35+AA35+AE35+AI35+AM35+AQ35+AU35+AY35+BC35+BG35+BK35+BO35+BS35+BW35+CA35+CE35</f>
        <v/>
      </c>
      <c r="CG35" s="159">
        <f>E35+I35+M35+Q35+U35+Y35+AC35+AG35+AK35+AO35+AS35+AW35+BA35+BE35+BI35+BM35+BQ35+BU35+BY35+CC35</f>
        <v/>
      </c>
      <c r="CH35" s="152">
        <f>CH34+CG35</f>
        <v/>
      </c>
      <c r="CI35" s="148" t="n"/>
      <c r="CJ35" s="148" t="n"/>
    </row>
    <row r="36" ht="15" customHeight="1" s="83">
      <c r="A36" s="148" t="n"/>
      <c r="B36" s="158" t="n">
        <v>32</v>
      </c>
      <c r="C36" s="152">
        <f>F36+J36+N36+R36+V36+Z36+AD36+AH36+AL36+AP36+AT36+AX36+BB36+BF36+BJ36+BN36+BR36+BV36+BZ36+CD36</f>
        <v/>
      </c>
      <c r="D36" s="152">
        <f>G35</f>
        <v/>
      </c>
      <c r="E36" s="159">
        <f>IF(D36&gt;0.005,D36*Debts!D8/12,0)</f>
        <v/>
      </c>
      <c r="F36" s="159" t="n">
        <v>0</v>
      </c>
      <c r="G36" s="152">
        <f>MAX(0,D36+E36-F36)</f>
        <v/>
      </c>
      <c r="H36" s="152">
        <f>K35</f>
        <v/>
      </c>
      <c r="I36" s="159">
        <f>IF(H36&gt;0.005,H36*Debts!D9/12,0)</f>
        <v/>
      </c>
      <c r="J36" s="159" t="n">
        <v>0</v>
      </c>
      <c r="K36" s="152">
        <f>MAX(0,H36+I36-J36)</f>
        <v/>
      </c>
      <c r="L36" s="152">
        <f>O35</f>
        <v/>
      </c>
      <c r="M36" s="159">
        <f>IF(L36&gt;0.005,L36*Debts!D10/12,0)</f>
        <v/>
      </c>
      <c r="N36" s="159" t="n">
        <v>0</v>
      </c>
      <c r="O36" s="152">
        <f>MAX(0,L36+M36-N36)</f>
        <v/>
      </c>
      <c r="P36" s="152">
        <f>S35</f>
        <v/>
      </c>
      <c r="Q36" s="159">
        <f>IF(P36&gt;0.005,P36*Debts!D11/12,0)</f>
        <v/>
      </c>
      <c r="R36" s="159" t="n">
        <v>0</v>
      </c>
      <c r="S36" s="152">
        <f>MAX(0,P36+Q36-R36)</f>
        <v/>
      </c>
      <c r="T36" s="152">
        <f>W35</f>
        <v/>
      </c>
      <c r="U36" s="159">
        <f>IF(T36&gt;0.005,T36*Debts!D12/12,0)</f>
        <v/>
      </c>
      <c r="V36" s="159" t="n">
        <v>0</v>
      </c>
      <c r="W36" s="152">
        <f>MAX(0,T36+U36-V36)</f>
        <v/>
      </c>
      <c r="X36" s="152">
        <f>AA35</f>
        <v/>
      </c>
      <c r="Y36" s="159">
        <f>IF(X36&gt;0.005,X36*Debts!D13/12,0)</f>
        <v/>
      </c>
      <c r="Z36" s="159" t="n">
        <v>0</v>
      </c>
      <c r="AA36" s="152">
        <f>MAX(0,X36+Y36-Z36)</f>
        <v/>
      </c>
      <c r="AB36" s="152">
        <f>AE35</f>
        <v/>
      </c>
      <c r="AC36" s="159">
        <f>IF(AB36&gt;0.005,AB36*Debts!D14/12,0)</f>
        <v/>
      </c>
      <c r="AD36" s="159" t="n">
        <v>0</v>
      </c>
      <c r="AE36" s="152">
        <f>MAX(0,AB36+AC36-AD36)</f>
        <v/>
      </c>
      <c r="AF36" s="152">
        <f>AI35</f>
        <v/>
      </c>
      <c r="AG36" s="159">
        <f>IF(AF36&gt;0.005,AF36*Debts!D15/12,0)</f>
        <v/>
      </c>
      <c r="AH36" s="159" t="n">
        <v>0</v>
      </c>
      <c r="AI36" s="152">
        <f>MAX(0,AF36+AG36-AH36)</f>
        <v/>
      </c>
      <c r="AJ36" s="152">
        <f>AM35</f>
        <v/>
      </c>
      <c r="AK36" s="159">
        <f>IF(AJ36&gt;0.005,AJ36*Debts!D16/12,0)</f>
        <v/>
      </c>
      <c r="AL36" s="159" t="n">
        <v>0</v>
      </c>
      <c r="AM36" s="152">
        <f>MAX(0,AJ36+AK36-AL36)</f>
        <v/>
      </c>
      <c r="AN36" s="152">
        <f>AQ35</f>
        <v/>
      </c>
      <c r="AO36" s="159">
        <f>IF(AN36&gt;0.005,AN36*Debts!D17/12,0)</f>
        <v/>
      </c>
      <c r="AP36" s="159" t="n">
        <v>0</v>
      </c>
      <c r="AQ36" s="152">
        <f>MAX(0,AN36+AO36-AP36)</f>
        <v/>
      </c>
      <c r="AR36" s="152">
        <f>AU35</f>
        <v/>
      </c>
      <c r="AS36" s="159">
        <f>IF(AR36&gt;0.005,AR36*Debts!D18/12,0)</f>
        <v/>
      </c>
      <c r="AT36" s="159" t="n">
        <v>0</v>
      </c>
      <c r="AU36" s="152">
        <f>MAX(0,AR36+AS36-AT36)</f>
        <v/>
      </c>
      <c r="AV36" s="152">
        <f>AY35</f>
        <v/>
      </c>
      <c r="AW36" s="159">
        <f>IF(AV36&gt;0.005,AV36*Debts!D19/12,0)</f>
        <v/>
      </c>
      <c r="AX36" s="159" t="n">
        <v>0</v>
      </c>
      <c r="AY36" s="152">
        <f>MAX(0,AV36+AW36-AX36)</f>
        <v/>
      </c>
      <c r="AZ36" s="152">
        <f>BC35</f>
        <v/>
      </c>
      <c r="BA36" s="159">
        <f>IF(AZ36&gt;0.005,AZ36*Debts!D20/12,0)</f>
        <v/>
      </c>
      <c r="BB36" s="159" t="n">
        <v>0</v>
      </c>
      <c r="BC36" s="152">
        <f>MAX(0,AZ36+BA36-BB36)</f>
        <v/>
      </c>
      <c r="BD36" s="152">
        <f>BG35</f>
        <v/>
      </c>
      <c r="BE36" s="159">
        <f>IF(BD36&gt;0.005,BD36*Debts!D21/12,0)</f>
        <v/>
      </c>
      <c r="BF36" s="159" t="n">
        <v>0</v>
      </c>
      <c r="BG36" s="152">
        <f>MAX(0,BD36+BE36-BF36)</f>
        <v/>
      </c>
      <c r="BH36" s="152">
        <f>BK35</f>
        <v/>
      </c>
      <c r="BI36" s="159">
        <f>IF(BH36&gt;0.005,BH36*Debts!D22/12,0)</f>
        <v/>
      </c>
      <c r="BJ36" s="159" t="n">
        <v>0</v>
      </c>
      <c r="BK36" s="152">
        <f>MAX(0,BH36+BI36-BJ36)</f>
        <v/>
      </c>
      <c r="BL36" s="152">
        <f>BO35</f>
        <v/>
      </c>
      <c r="BM36" s="159">
        <f>IF(BL36&gt;0.005,BL36*Debts!D23/12,0)</f>
        <v/>
      </c>
      <c r="BN36" s="159" t="n">
        <v>0</v>
      </c>
      <c r="BO36" s="152">
        <f>MAX(0,BL36+BM36-BN36)</f>
        <v/>
      </c>
      <c r="BP36" s="152">
        <f>BS35</f>
        <v/>
      </c>
      <c r="BQ36" s="159">
        <f>IF(BP36&gt;0.005,BP36*Debts!D24/12,0)</f>
        <v/>
      </c>
      <c r="BR36" s="159" t="n">
        <v>0</v>
      </c>
      <c r="BS36" s="152">
        <f>MAX(0,BP36+BQ36-BR36)</f>
        <v/>
      </c>
      <c r="BT36" s="152">
        <f>BW35</f>
        <v/>
      </c>
      <c r="BU36" s="159">
        <f>IF(BT36&gt;0.005,BT36*Debts!D25/12,0)</f>
        <v/>
      </c>
      <c r="BV36" s="159" t="n">
        <v>0</v>
      </c>
      <c r="BW36" s="152">
        <f>MAX(0,BT36+BU36-BV36)</f>
        <v/>
      </c>
      <c r="BX36" s="152">
        <f>CA35</f>
        <v/>
      </c>
      <c r="BY36" s="159">
        <f>IF(BX36&gt;0.005,BX36*Debts!D26/12,0)</f>
        <v/>
      </c>
      <c r="BZ36" s="159" t="n">
        <v>0</v>
      </c>
      <c r="CA36" s="152">
        <f>MAX(0,BX36+BY36-BZ36)</f>
        <v/>
      </c>
      <c r="CB36" s="152">
        <f>CE35</f>
        <v/>
      </c>
      <c r="CC36" s="159">
        <f>IF(CB36&gt;0.005,CB36*Debts!D27/12,0)</f>
        <v/>
      </c>
      <c r="CD36" s="159" t="n">
        <v>0</v>
      </c>
      <c r="CE36" s="152">
        <f>MAX(0,CB36+CC36-CD36)</f>
        <v/>
      </c>
      <c r="CF36" s="152">
        <f>G36+K36+O36+S36+W36+AA36+AE36+AI36+AM36+AQ36+AU36+AY36+BC36+BG36+BK36+BO36+BS36+BW36+CA36+CE36</f>
        <v/>
      </c>
      <c r="CG36" s="159">
        <f>E36+I36+M36+Q36+U36+Y36+AC36+AG36+AK36+AO36+AS36+AW36+BA36+BE36+BI36+BM36+BQ36+BU36+BY36+CC36</f>
        <v/>
      </c>
      <c r="CH36" s="152">
        <f>CH35+CG36</f>
        <v/>
      </c>
      <c r="CI36" s="148" t="n"/>
      <c r="CJ36" s="148" t="n"/>
    </row>
    <row r="37" ht="15" customHeight="1" s="83">
      <c r="A37" s="148" t="n"/>
      <c r="B37" s="158" t="n">
        <v>33</v>
      </c>
      <c r="C37" s="152">
        <f>F37+J37+N37+R37+V37+Z37+AD37+AH37+AL37+AP37+AT37+AX37+BB37+BF37+BJ37+BN37+BR37+BV37+BZ37+CD37</f>
        <v/>
      </c>
      <c r="D37" s="152">
        <f>G36</f>
        <v/>
      </c>
      <c r="E37" s="159">
        <f>IF(D37&gt;0.005,D37*Debts!D8/12,0)</f>
        <v/>
      </c>
      <c r="F37" s="159" t="n">
        <v>0</v>
      </c>
      <c r="G37" s="152">
        <f>MAX(0,D37+E37-F37)</f>
        <v/>
      </c>
      <c r="H37" s="152">
        <f>K36</f>
        <v/>
      </c>
      <c r="I37" s="159">
        <f>IF(H37&gt;0.005,H37*Debts!D9/12,0)</f>
        <v/>
      </c>
      <c r="J37" s="159" t="n">
        <v>0</v>
      </c>
      <c r="K37" s="152">
        <f>MAX(0,H37+I37-J37)</f>
        <v/>
      </c>
      <c r="L37" s="152">
        <f>O36</f>
        <v/>
      </c>
      <c r="M37" s="159">
        <f>IF(L37&gt;0.005,L37*Debts!D10/12,0)</f>
        <v/>
      </c>
      <c r="N37" s="159" t="n">
        <v>0</v>
      </c>
      <c r="O37" s="152">
        <f>MAX(0,L37+M37-N37)</f>
        <v/>
      </c>
      <c r="P37" s="152">
        <f>S36</f>
        <v/>
      </c>
      <c r="Q37" s="159">
        <f>IF(P37&gt;0.005,P37*Debts!D11/12,0)</f>
        <v/>
      </c>
      <c r="R37" s="159" t="n">
        <v>0</v>
      </c>
      <c r="S37" s="152">
        <f>MAX(0,P37+Q37-R37)</f>
        <v/>
      </c>
      <c r="T37" s="152">
        <f>W36</f>
        <v/>
      </c>
      <c r="U37" s="159">
        <f>IF(T37&gt;0.005,T37*Debts!D12/12,0)</f>
        <v/>
      </c>
      <c r="V37" s="159" t="n">
        <v>0</v>
      </c>
      <c r="W37" s="152">
        <f>MAX(0,T37+U37-V37)</f>
        <v/>
      </c>
      <c r="X37" s="152">
        <f>AA36</f>
        <v/>
      </c>
      <c r="Y37" s="159">
        <f>IF(X37&gt;0.005,X37*Debts!D13/12,0)</f>
        <v/>
      </c>
      <c r="Z37" s="159" t="n">
        <v>0</v>
      </c>
      <c r="AA37" s="152">
        <f>MAX(0,X37+Y37-Z37)</f>
        <v/>
      </c>
      <c r="AB37" s="152">
        <f>AE36</f>
        <v/>
      </c>
      <c r="AC37" s="159">
        <f>IF(AB37&gt;0.005,AB37*Debts!D14/12,0)</f>
        <v/>
      </c>
      <c r="AD37" s="159" t="n">
        <v>0</v>
      </c>
      <c r="AE37" s="152">
        <f>MAX(0,AB37+AC37-AD37)</f>
        <v/>
      </c>
      <c r="AF37" s="152">
        <f>AI36</f>
        <v/>
      </c>
      <c r="AG37" s="159">
        <f>IF(AF37&gt;0.005,AF37*Debts!D15/12,0)</f>
        <v/>
      </c>
      <c r="AH37" s="159" t="n">
        <v>0</v>
      </c>
      <c r="AI37" s="152">
        <f>MAX(0,AF37+AG37-AH37)</f>
        <v/>
      </c>
      <c r="AJ37" s="152">
        <f>AM36</f>
        <v/>
      </c>
      <c r="AK37" s="159">
        <f>IF(AJ37&gt;0.005,AJ37*Debts!D16/12,0)</f>
        <v/>
      </c>
      <c r="AL37" s="159" t="n">
        <v>0</v>
      </c>
      <c r="AM37" s="152">
        <f>MAX(0,AJ37+AK37-AL37)</f>
        <v/>
      </c>
      <c r="AN37" s="152">
        <f>AQ36</f>
        <v/>
      </c>
      <c r="AO37" s="159">
        <f>IF(AN37&gt;0.005,AN37*Debts!D17/12,0)</f>
        <v/>
      </c>
      <c r="AP37" s="159" t="n">
        <v>0</v>
      </c>
      <c r="AQ37" s="152">
        <f>MAX(0,AN37+AO37-AP37)</f>
        <v/>
      </c>
      <c r="AR37" s="152">
        <f>AU36</f>
        <v/>
      </c>
      <c r="AS37" s="159">
        <f>IF(AR37&gt;0.005,AR37*Debts!D18/12,0)</f>
        <v/>
      </c>
      <c r="AT37" s="159" t="n">
        <v>0</v>
      </c>
      <c r="AU37" s="152">
        <f>MAX(0,AR37+AS37-AT37)</f>
        <v/>
      </c>
      <c r="AV37" s="152">
        <f>AY36</f>
        <v/>
      </c>
      <c r="AW37" s="159">
        <f>IF(AV37&gt;0.005,AV37*Debts!D19/12,0)</f>
        <v/>
      </c>
      <c r="AX37" s="159" t="n">
        <v>0</v>
      </c>
      <c r="AY37" s="152">
        <f>MAX(0,AV37+AW37-AX37)</f>
        <v/>
      </c>
      <c r="AZ37" s="152">
        <f>BC36</f>
        <v/>
      </c>
      <c r="BA37" s="159">
        <f>IF(AZ37&gt;0.005,AZ37*Debts!D20/12,0)</f>
        <v/>
      </c>
      <c r="BB37" s="159" t="n">
        <v>0</v>
      </c>
      <c r="BC37" s="152">
        <f>MAX(0,AZ37+BA37-BB37)</f>
        <v/>
      </c>
      <c r="BD37" s="152">
        <f>BG36</f>
        <v/>
      </c>
      <c r="BE37" s="159">
        <f>IF(BD37&gt;0.005,BD37*Debts!D21/12,0)</f>
        <v/>
      </c>
      <c r="BF37" s="159" t="n">
        <v>0</v>
      </c>
      <c r="BG37" s="152">
        <f>MAX(0,BD37+BE37-BF37)</f>
        <v/>
      </c>
      <c r="BH37" s="152">
        <f>BK36</f>
        <v/>
      </c>
      <c r="BI37" s="159">
        <f>IF(BH37&gt;0.005,BH37*Debts!D22/12,0)</f>
        <v/>
      </c>
      <c r="BJ37" s="159" t="n">
        <v>0</v>
      </c>
      <c r="BK37" s="152">
        <f>MAX(0,BH37+BI37-BJ37)</f>
        <v/>
      </c>
      <c r="BL37" s="152">
        <f>BO36</f>
        <v/>
      </c>
      <c r="BM37" s="159">
        <f>IF(BL37&gt;0.005,BL37*Debts!D23/12,0)</f>
        <v/>
      </c>
      <c r="BN37" s="159" t="n">
        <v>0</v>
      </c>
      <c r="BO37" s="152">
        <f>MAX(0,BL37+BM37-BN37)</f>
        <v/>
      </c>
      <c r="BP37" s="152">
        <f>BS36</f>
        <v/>
      </c>
      <c r="BQ37" s="159">
        <f>IF(BP37&gt;0.005,BP37*Debts!D24/12,0)</f>
        <v/>
      </c>
      <c r="BR37" s="159" t="n">
        <v>0</v>
      </c>
      <c r="BS37" s="152">
        <f>MAX(0,BP37+BQ37-BR37)</f>
        <v/>
      </c>
      <c r="BT37" s="152">
        <f>BW36</f>
        <v/>
      </c>
      <c r="BU37" s="159">
        <f>IF(BT37&gt;0.005,BT37*Debts!D25/12,0)</f>
        <v/>
      </c>
      <c r="BV37" s="159" t="n">
        <v>0</v>
      </c>
      <c r="BW37" s="152">
        <f>MAX(0,BT37+BU37-BV37)</f>
        <v/>
      </c>
      <c r="BX37" s="152">
        <f>CA36</f>
        <v/>
      </c>
      <c r="BY37" s="159">
        <f>IF(BX37&gt;0.005,BX37*Debts!D26/12,0)</f>
        <v/>
      </c>
      <c r="BZ37" s="159" t="n">
        <v>0</v>
      </c>
      <c r="CA37" s="152">
        <f>MAX(0,BX37+BY37-BZ37)</f>
        <v/>
      </c>
      <c r="CB37" s="152">
        <f>CE36</f>
        <v/>
      </c>
      <c r="CC37" s="159">
        <f>IF(CB37&gt;0.005,CB37*Debts!D27/12,0)</f>
        <v/>
      </c>
      <c r="CD37" s="159" t="n">
        <v>0</v>
      </c>
      <c r="CE37" s="152">
        <f>MAX(0,CB37+CC37-CD37)</f>
        <v/>
      </c>
      <c r="CF37" s="152">
        <f>G37+K37+O37+S37+W37+AA37+AE37+AI37+AM37+AQ37+AU37+AY37+BC37+BG37+BK37+BO37+BS37+BW37+CA37+CE37</f>
        <v/>
      </c>
      <c r="CG37" s="159">
        <f>E37+I37+M37+Q37+U37+Y37+AC37+AG37+AK37+AO37+AS37+AW37+BA37+BE37+BI37+BM37+BQ37+BU37+BY37+CC37</f>
        <v/>
      </c>
      <c r="CH37" s="152">
        <f>CH36+CG37</f>
        <v/>
      </c>
      <c r="CI37" s="148" t="n"/>
      <c r="CJ37" s="148" t="n"/>
    </row>
    <row r="38" ht="15" customHeight="1" s="83">
      <c r="A38" s="148" t="n"/>
      <c r="B38" s="158" t="n">
        <v>34</v>
      </c>
      <c r="C38" s="152">
        <f>F38+J38+N38+R38+V38+Z38+AD38+AH38+AL38+AP38+AT38+AX38+BB38+BF38+BJ38+BN38+BR38+BV38+BZ38+CD38</f>
        <v/>
      </c>
      <c r="D38" s="152">
        <f>G37</f>
        <v/>
      </c>
      <c r="E38" s="159">
        <f>IF(D38&gt;0.005,D38*Debts!D8/12,0)</f>
        <v/>
      </c>
      <c r="F38" s="159" t="n">
        <v>0</v>
      </c>
      <c r="G38" s="152">
        <f>MAX(0,D38+E38-F38)</f>
        <v/>
      </c>
      <c r="H38" s="152">
        <f>K37</f>
        <v/>
      </c>
      <c r="I38" s="159">
        <f>IF(H38&gt;0.005,H38*Debts!D9/12,0)</f>
        <v/>
      </c>
      <c r="J38" s="159" t="n">
        <v>0</v>
      </c>
      <c r="K38" s="152">
        <f>MAX(0,H38+I38-J38)</f>
        <v/>
      </c>
      <c r="L38" s="152">
        <f>O37</f>
        <v/>
      </c>
      <c r="M38" s="159">
        <f>IF(L38&gt;0.005,L38*Debts!D10/12,0)</f>
        <v/>
      </c>
      <c r="N38" s="159" t="n">
        <v>0</v>
      </c>
      <c r="O38" s="152">
        <f>MAX(0,L38+M38-N38)</f>
        <v/>
      </c>
      <c r="P38" s="152">
        <f>S37</f>
        <v/>
      </c>
      <c r="Q38" s="159">
        <f>IF(P38&gt;0.005,P38*Debts!D11/12,0)</f>
        <v/>
      </c>
      <c r="R38" s="159" t="n">
        <v>0</v>
      </c>
      <c r="S38" s="152">
        <f>MAX(0,P38+Q38-R38)</f>
        <v/>
      </c>
      <c r="T38" s="152">
        <f>W37</f>
        <v/>
      </c>
      <c r="U38" s="159">
        <f>IF(T38&gt;0.005,T38*Debts!D12/12,0)</f>
        <v/>
      </c>
      <c r="V38" s="159" t="n">
        <v>0</v>
      </c>
      <c r="W38" s="152">
        <f>MAX(0,T38+U38-V38)</f>
        <v/>
      </c>
      <c r="X38" s="152">
        <f>AA37</f>
        <v/>
      </c>
      <c r="Y38" s="159">
        <f>IF(X38&gt;0.005,X38*Debts!D13/12,0)</f>
        <v/>
      </c>
      <c r="Z38" s="159" t="n">
        <v>0</v>
      </c>
      <c r="AA38" s="152">
        <f>MAX(0,X38+Y38-Z38)</f>
        <v/>
      </c>
      <c r="AB38" s="152">
        <f>AE37</f>
        <v/>
      </c>
      <c r="AC38" s="159">
        <f>IF(AB38&gt;0.005,AB38*Debts!D14/12,0)</f>
        <v/>
      </c>
      <c r="AD38" s="159" t="n">
        <v>0</v>
      </c>
      <c r="AE38" s="152">
        <f>MAX(0,AB38+AC38-AD38)</f>
        <v/>
      </c>
      <c r="AF38" s="152">
        <f>AI37</f>
        <v/>
      </c>
      <c r="AG38" s="159">
        <f>IF(AF38&gt;0.005,AF38*Debts!D15/12,0)</f>
        <v/>
      </c>
      <c r="AH38" s="159" t="n">
        <v>0</v>
      </c>
      <c r="AI38" s="152">
        <f>MAX(0,AF38+AG38-AH38)</f>
        <v/>
      </c>
      <c r="AJ38" s="152">
        <f>AM37</f>
        <v/>
      </c>
      <c r="AK38" s="159">
        <f>IF(AJ38&gt;0.005,AJ38*Debts!D16/12,0)</f>
        <v/>
      </c>
      <c r="AL38" s="159" t="n">
        <v>0</v>
      </c>
      <c r="AM38" s="152">
        <f>MAX(0,AJ38+AK38-AL38)</f>
        <v/>
      </c>
      <c r="AN38" s="152">
        <f>AQ37</f>
        <v/>
      </c>
      <c r="AO38" s="159">
        <f>IF(AN38&gt;0.005,AN38*Debts!D17/12,0)</f>
        <v/>
      </c>
      <c r="AP38" s="159" t="n">
        <v>0</v>
      </c>
      <c r="AQ38" s="152">
        <f>MAX(0,AN38+AO38-AP38)</f>
        <v/>
      </c>
      <c r="AR38" s="152">
        <f>AU37</f>
        <v/>
      </c>
      <c r="AS38" s="159">
        <f>IF(AR38&gt;0.005,AR38*Debts!D18/12,0)</f>
        <v/>
      </c>
      <c r="AT38" s="159" t="n">
        <v>0</v>
      </c>
      <c r="AU38" s="152">
        <f>MAX(0,AR38+AS38-AT38)</f>
        <v/>
      </c>
      <c r="AV38" s="152">
        <f>AY37</f>
        <v/>
      </c>
      <c r="AW38" s="159">
        <f>IF(AV38&gt;0.005,AV38*Debts!D19/12,0)</f>
        <v/>
      </c>
      <c r="AX38" s="159" t="n">
        <v>0</v>
      </c>
      <c r="AY38" s="152">
        <f>MAX(0,AV38+AW38-AX38)</f>
        <v/>
      </c>
      <c r="AZ38" s="152">
        <f>BC37</f>
        <v/>
      </c>
      <c r="BA38" s="159">
        <f>IF(AZ38&gt;0.005,AZ38*Debts!D20/12,0)</f>
        <v/>
      </c>
      <c r="BB38" s="159" t="n">
        <v>0</v>
      </c>
      <c r="BC38" s="152">
        <f>MAX(0,AZ38+BA38-BB38)</f>
        <v/>
      </c>
      <c r="BD38" s="152">
        <f>BG37</f>
        <v/>
      </c>
      <c r="BE38" s="159">
        <f>IF(BD38&gt;0.005,BD38*Debts!D21/12,0)</f>
        <v/>
      </c>
      <c r="BF38" s="159" t="n">
        <v>0</v>
      </c>
      <c r="BG38" s="152">
        <f>MAX(0,BD38+BE38-BF38)</f>
        <v/>
      </c>
      <c r="BH38" s="152">
        <f>BK37</f>
        <v/>
      </c>
      <c r="BI38" s="159">
        <f>IF(BH38&gt;0.005,BH38*Debts!D22/12,0)</f>
        <v/>
      </c>
      <c r="BJ38" s="159" t="n">
        <v>0</v>
      </c>
      <c r="BK38" s="152">
        <f>MAX(0,BH38+BI38-BJ38)</f>
        <v/>
      </c>
      <c r="BL38" s="152">
        <f>BO37</f>
        <v/>
      </c>
      <c r="BM38" s="159">
        <f>IF(BL38&gt;0.005,BL38*Debts!D23/12,0)</f>
        <v/>
      </c>
      <c r="BN38" s="159" t="n">
        <v>0</v>
      </c>
      <c r="BO38" s="152">
        <f>MAX(0,BL38+BM38-BN38)</f>
        <v/>
      </c>
      <c r="BP38" s="152">
        <f>BS37</f>
        <v/>
      </c>
      <c r="BQ38" s="159">
        <f>IF(BP38&gt;0.005,BP38*Debts!D24/12,0)</f>
        <v/>
      </c>
      <c r="BR38" s="159" t="n">
        <v>0</v>
      </c>
      <c r="BS38" s="152">
        <f>MAX(0,BP38+BQ38-BR38)</f>
        <v/>
      </c>
      <c r="BT38" s="152">
        <f>BW37</f>
        <v/>
      </c>
      <c r="BU38" s="159">
        <f>IF(BT38&gt;0.005,BT38*Debts!D25/12,0)</f>
        <v/>
      </c>
      <c r="BV38" s="159" t="n">
        <v>0</v>
      </c>
      <c r="BW38" s="152">
        <f>MAX(0,BT38+BU38-BV38)</f>
        <v/>
      </c>
      <c r="BX38" s="152">
        <f>CA37</f>
        <v/>
      </c>
      <c r="BY38" s="159">
        <f>IF(BX38&gt;0.005,BX38*Debts!D26/12,0)</f>
        <v/>
      </c>
      <c r="BZ38" s="159" t="n">
        <v>0</v>
      </c>
      <c r="CA38" s="152">
        <f>MAX(0,BX38+BY38-BZ38)</f>
        <v/>
      </c>
      <c r="CB38" s="152">
        <f>CE37</f>
        <v/>
      </c>
      <c r="CC38" s="159">
        <f>IF(CB38&gt;0.005,CB38*Debts!D27/12,0)</f>
        <v/>
      </c>
      <c r="CD38" s="159" t="n">
        <v>0</v>
      </c>
      <c r="CE38" s="152">
        <f>MAX(0,CB38+CC38-CD38)</f>
        <v/>
      </c>
      <c r="CF38" s="152">
        <f>G38+K38+O38+S38+W38+AA38+AE38+AI38+AM38+AQ38+AU38+AY38+BC38+BG38+BK38+BO38+BS38+BW38+CA38+CE38</f>
        <v/>
      </c>
      <c r="CG38" s="159">
        <f>E38+I38+M38+Q38+U38+Y38+AC38+AG38+AK38+AO38+AS38+AW38+BA38+BE38+BI38+BM38+BQ38+BU38+BY38+CC38</f>
        <v/>
      </c>
      <c r="CH38" s="152">
        <f>CH37+CG38</f>
        <v/>
      </c>
      <c r="CI38" s="148" t="n"/>
      <c r="CJ38" s="148" t="n"/>
    </row>
    <row r="39" ht="15" customHeight="1" s="83">
      <c r="A39" s="148" t="n"/>
      <c r="B39" s="158" t="n">
        <v>35</v>
      </c>
      <c r="C39" s="152">
        <f>F39+J39+N39+R39+V39+Z39+AD39+AH39+AL39+AP39+AT39+AX39+BB39+BF39+BJ39+BN39+BR39+BV39+BZ39+CD39</f>
        <v/>
      </c>
      <c r="D39" s="152">
        <f>G38</f>
        <v/>
      </c>
      <c r="E39" s="159">
        <f>IF(D39&gt;0.005,D39*Debts!D8/12,0)</f>
        <v/>
      </c>
      <c r="F39" s="159" t="n">
        <v>0</v>
      </c>
      <c r="G39" s="152">
        <f>MAX(0,D39+E39-F39)</f>
        <v/>
      </c>
      <c r="H39" s="152">
        <f>K38</f>
        <v/>
      </c>
      <c r="I39" s="159">
        <f>IF(H39&gt;0.005,H39*Debts!D9/12,0)</f>
        <v/>
      </c>
      <c r="J39" s="159" t="n">
        <v>0</v>
      </c>
      <c r="K39" s="152">
        <f>MAX(0,H39+I39-J39)</f>
        <v/>
      </c>
      <c r="L39" s="152">
        <f>O38</f>
        <v/>
      </c>
      <c r="M39" s="159">
        <f>IF(L39&gt;0.005,L39*Debts!D10/12,0)</f>
        <v/>
      </c>
      <c r="N39" s="159" t="n">
        <v>0</v>
      </c>
      <c r="O39" s="152">
        <f>MAX(0,L39+M39-N39)</f>
        <v/>
      </c>
      <c r="P39" s="152">
        <f>S38</f>
        <v/>
      </c>
      <c r="Q39" s="159">
        <f>IF(P39&gt;0.005,P39*Debts!D11/12,0)</f>
        <v/>
      </c>
      <c r="R39" s="159" t="n">
        <v>0</v>
      </c>
      <c r="S39" s="152">
        <f>MAX(0,P39+Q39-R39)</f>
        <v/>
      </c>
      <c r="T39" s="152">
        <f>W38</f>
        <v/>
      </c>
      <c r="U39" s="159">
        <f>IF(T39&gt;0.005,T39*Debts!D12/12,0)</f>
        <v/>
      </c>
      <c r="V39" s="159" t="n">
        <v>0</v>
      </c>
      <c r="W39" s="152">
        <f>MAX(0,T39+U39-V39)</f>
        <v/>
      </c>
      <c r="X39" s="152">
        <f>AA38</f>
        <v/>
      </c>
      <c r="Y39" s="159">
        <f>IF(X39&gt;0.005,X39*Debts!D13/12,0)</f>
        <v/>
      </c>
      <c r="Z39" s="159" t="n">
        <v>0</v>
      </c>
      <c r="AA39" s="152">
        <f>MAX(0,X39+Y39-Z39)</f>
        <v/>
      </c>
      <c r="AB39" s="152">
        <f>AE38</f>
        <v/>
      </c>
      <c r="AC39" s="159">
        <f>IF(AB39&gt;0.005,AB39*Debts!D14/12,0)</f>
        <v/>
      </c>
      <c r="AD39" s="159" t="n">
        <v>0</v>
      </c>
      <c r="AE39" s="152">
        <f>MAX(0,AB39+AC39-AD39)</f>
        <v/>
      </c>
      <c r="AF39" s="152">
        <f>AI38</f>
        <v/>
      </c>
      <c r="AG39" s="159">
        <f>IF(AF39&gt;0.005,AF39*Debts!D15/12,0)</f>
        <v/>
      </c>
      <c r="AH39" s="159" t="n">
        <v>0</v>
      </c>
      <c r="AI39" s="152">
        <f>MAX(0,AF39+AG39-AH39)</f>
        <v/>
      </c>
      <c r="AJ39" s="152">
        <f>AM38</f>
        <v/>
      </c>
      <c r="AK39" s="159">
        <f>IF(AJ39&gt;0.005,AJ39*Debts!D16/12,0)</f>
        <v/>
      </c>
      <c r="AL39" s="159" t="n">
        <v>0</v>
      </c>
      <c r="AM39" s="152">
        <f>MAX(0,AJ39+AK39-AL39)</f>
        <v/>
      </c>
      <c r="AN39" s="152">
        <f>AQ38</f>
        <v/>
      </c>
      <c r="AO39" s="159">
        <f>IF(AN39&gt;0.005,AN39*Debts!D17/12,0)</f>
        <v/>
      </c>
      <c r="AP39" s="159" t="n">
        <v>0</v>
      </c>
      <c r="AQ39" s="152">
        <f>MAX(0,AN39+AO39-AP39)</f>
        <v/>
      </c>
      <c r="AR39" s="152">
        <f>AU38</f>
        <v/>
      </c>
      <c r="AS39" s="159">
        <f>IF(AR39&gt;0.005,AR39*Debts!D18/12,0)</f>
        <v/>
      </c>
      <c r="AT39" s="159" t="n">
        <v>0</v>
      </c>
      <c r="AU39" s="152">
        <f>MAX(0,AR39+AS39-AT39)</f>
        <v/>
      </c>
      <c r="AV39" s="152">
        <f>AY38</f>
        <v/>
      </c>
      <c r="AW39" s="159">
        <f>IF(AV39&gt;0.005,AV39*Debts!D19/12,0)</f>
        <v/>
      </c>
      <c r="AX39" s="159" t="n">
        <v>0</v>
      </c>
      <c r="AY39" s="152">
        <f>MAX(0,AV39+AW39-AX39)</f>
        <v/>
      </c>
      <c r="AZ39" s="152">
        <f>BC38</f>
        <v/>
      </c>
      <c r="BA39" s="159">
        <f>IF(AZ39&gt;0.005,AZ39*Debts!D20/12,0)</f>
        <v/>
      </c>
      <c r="BB39" s="159" t="n">
        <v>0</v>
      </c>
      <c r="BC39" s="152">
        <f>MAX(0,AZ39+BA39-BB39)</f>
        <v/>
      </c>
      <c r="BD39" s="152">
        <f>BG38</f>
        <v/>
      </c>
      <c r="BE39" s="159">
        <f>IF(BD39&gt;0.005,BD39*Debts!D21/12,0)</f>
        <v/>
      </c>
      <c r="BF39" s="159" t="n">
        <v>0</v>
      </c>
      <c r="BG39" s="152">
        <f>MAX(0,BD39+BE39-BF39)</f>
        <v/>
      </c>
      <c r="BH39" s="152">
        <f>BK38</f>
        <v/>
      </c>
      <c r="BI39" s="159">
        <f>IF(BH39&gt;0.005,BH39*Debts!D22/12,0)</f>
        <v/>
      </c>
      <c r="BJ39" s="159" t="n">
        <v>0</v>
      </c>
      <c r="BK39" s="152">
        <f>MAX(0,BH39+BI39-BJ39)</f>
        <v/>
      </c>
      <c r="BL39" s="152">
        <f>BO38</f>
        <v/>
      </c>
      <c r="BM39" s="159">
        <f>IF(BL39&gt;0.005,BL39*Debts!D23/12,0)</f>
        <v/>
      </c>
      <c r="BN39" s="159" t="n">
        <v>0</v>
      </c>
      <c r="BO39" s="152">
        <f>MAX(0,BL39+BM39-BN39)</f>
        <v/>
      </c>
      <c r="BP39" s="152">
        <f>BS38</f>
        <v/>
      </c>
      <c r="BQ39" s="159">
        <f>IF(BP39&gt;0.005,BP39*Debts!D24/12,0)</f>
        <v/>
      </c>
      <c r="BR39" s="159" t="n">
        <v>0</v>
      </c>
      <c r="BS39" s="152">
        <f>MAX(0,BP39+BQ39-BR39)</f>
        <v/>
      </c>
      <c r="BT39" s="152">
        <f>BW38</f>
        <v/>
      </c>
      <c r="BU39" s="159">
        <f>IF(BT39&gt;0.005,BT39*Debts!D25/12,0)</f>
        <v/>
      </c>
      <c r="BV39" s="159" t="n">
        <v>0</v>
      </c>
      <c r="BW39" s="152">
        <f>MAX(0,BT39+BU39-BV39)</f>
        <v/>
      </c>
      <c r="BX39" s="152">
        <f>CA38</f>
        <v/>
      </c>
      <c r="BY39" s="159">
        <f>IF(BX39&gt;0.005,BX39*Debts!D26/12,0)</f>
        <v/>
      </c>
      <c r="BZ39" s="159" t="n">
        <v>0</v>
      </c>
      <c r="CA39" s="152">
        <f>MAX(0,BX39+BY39-BZ39)</f>
        <v/>
      </c>
      <c r="CB39" s="152">
        <f>CE38</f>
        <v/>
      </c>
      <c r="CC39" s="159">
        <f>IF(CB39&gt;0.005,CB39*Debts!D27/12,0)</f>
        <v/>
      </c>
      <c r="CD39" s="159" t="n">
        <v>0</v>
      </c>
      <c r="CE39" s="152">
        <f>MAX(0,CB39+CC39-CD39)</f>
        <v/>
      </c>
      <c r="CF39" s="152">
        <f>G39+K39+O39+S39+W39+AA39+AE39+AI39+AM39+AQ39+AU39+AY39+BC39+BG39+BK39+BO39+BS39+BW39+CA39+CE39</f>
        <v/>
      </c>
      <c r="CG39" s="159">
        <f>E39+I39+M39+Q39+U39+Y39+AC39+AG39+AK39+AO39+AS39+AW39+BA39+BE39+BI39+BM39+BQ39+BU39+BY39+CC39</f>
        <v/>
      </c>
      <c r="CH39" s="152">
        <f>CH38+CG39</f>
        <v/>
      </c>
      <c r="CI39" s="148" t="n"/>
      <c r="CJ39" s="148" t="n"/>
    </row>
    <row r="40" ht="15" customHeight="1" s="83">
      <c r="A40" s="148" t="n"/>
      <c r="B40" s="158" t="n">
        <v>36</v>
      </c>
      <c r="C40" s="152">
        <f>F40+J40+N40+R40+V40+Z40+AD40+AH40+AL40+AP40+AT40+AX40+BB40+BF40+BJ40+BN40+BR40+BV40+BZ40+CD40</f>
        <v/>
      </c>
      <c r="D40" s="152">
        <f>G39</f>
        <v/>
      </c>
      <c r="E40" s="159">
        <f>IF(D40&gt;0.005,D40*Debts!D8/12,0)</f>
        <v/>
      </c>
      <c r="F40" s="159" t="n">
        <v>0</v>
      </c>
      <c r="G40" s="152">
        <f>MAX(0,D40+E40-F40)</f>
        <v/>
      </c>
      <c r="H40" s="152">
        <f>K39</f>
        <v/>
      </c>
      <c r="I40" s="159">
        <f>IF(H40&gt;0.005,H40*Debts!D9/12,0)</f>
        <v/>
      </c>
      <c r="J40" s="159" t="n">
        <v>0</v>
      </c>
      <c r="K40" s="152">
        <f>MAX(0,H40+I40-J40)</f>
        <v/>
      </c>
      <c r="L40" s="152">
        <f>O39</f>
        <v/>
      </c>
      <c r="M40" s="159">
        <f>IF(L40&gt;0.005,L40*Debts!D10/12,0)</f>
        <v/>
      </c>
      <c r="N40" s="159" t="n">
        <v>0</v>
      </c>
      <c r="O40" s="152">
        <f>MAX(0,L40+M40-N40)</f>
        <v/>
      </c>
      <c r="P40" s="152">
        <f>S39</f>
        <v/>
      </c>
      <c r="Q40" s="159">
        <f>IF(P40&gt;0.005,P40*Debts!D11/12,0)</f>
        <v/>
      </c>
      <c r="R40" s="159" t="n">
        <v>0</v>
      </c>
      <c r="S40" s="152">
        <f>MAX(0,P40+Q40-R40)</f>
        <v/>
      </c>
      <c r="T40" s="152">
        <f>W39</f>
        <v/>
      </c>
      <c r="U40" s="159">
        <f>IF(T40&gt;0.005,T40*Debts!D12/12,0)</f>
        <v/>
      </c>
      <c r="V40" s="159" t="n">
        <v>0</v>
      </c>
      <c r="W40" s="152">
        <f>MAX(0,T40+U40-V40)</f>
        <v/>
      </c>
      <c r="X40" s="152">
        <f>AA39</f>
        <v/>
      </c>
      <c r="Y40" s="159">
        <f>IF(X40&gt;0.005,X40*Debts!D13/12,0)</f>
        <v/>
      </c>
      <c r="Z40" s="159" t="n">
        <v>0</v>
      </c>
      <c r="AA40" s="152">
        <f>MAX(0,X40+Y40-Z40)</f>
        <v/>
      </c>
      <c r="AB40" s="152">
        <f>AE39</f>
        <v/>
      </c>
      <c r="AC40" s="159">
        <f>IF(AB40&gt;0.005,AB40*Debts!D14/12,0)</f>
        <v/>
      </c>
      <c r="AD40" s="159" t="n">
        <v>0</v>
      </c>
      <c r="AE40" s="152">
        <f>MAX(0,AB40+AC40-AD40)</f>
        <v/>
      </c>
      <c r="AF40" s="152">
        <f>AI39</f>
        <v/>
      </c>
      <c r="AG40" s="159">
        <f>IF(AF40&gt;0.005,AF40*Debts!D15/12,0)</f>
        <v/>
      </c>
      <c r="AH40" s="159" t="n">
        <v>0</v>
      </c>
      <c r="AI40" s="152">
        <f>MAX(0,AF40+AG40-AH40)</f>
        <v/>
      </c>
      <c r="AJ40" s="152">
        <f>AM39</f>
        <v/>
      </c>
      <c r="AK40" s="159">
        <f>IF(AJ40&gt;0.005,AJ40*Debts!D16/12,0)</f>
        <v/>
      </c>
      <c r="AL40" s="159" t="n">
        <v>0</v>
      </c>
      <c r="AM40" s="152">
        <f>MAX(0,AJ40+AK40-AL40)</f>
        <v/>
      </c>
      <c r="AN40" s="152">
        <f>AQ39</f>
        <v/>
      </c>
      <c r="AO40" s="159">
        <f>IF(AN40&gt;0.005,AN40*Debts!D17/12,0)</f>
        <v/>
      </c>
      <c r="AP40" s="159" t="n">
        <v>0</v>
      </c>
      <c r="AQ40" s="152">
        <f>MAX(0,AN40+AO40-AP40)</f>
        <v/>
      </c>
      <c r="AR40" s="152">
        <f>AU39</f>
        <v/>
      </c>
      <c r="AS40" s="159">
        <f>IF(AR40&gt;0.005,AR40*Debts!D18/12,0)</f>
        <v/>
      </c>
      <c r="AT40" s="159" t="n">
        <v>0</v>
      </c>
      <c r="AU40" s="152">
        <f>MAX(0,AR40+AS40-AT40)</f>
        <v/>
      </c>
      <c r="AV40" s="152">
        <f>AY39</f>
        <v/>
      </c>
      <c r="AW40" s="159">
        <f>IF(AV40&gt;0.005,AV40*Debts!D19/12,0)</f>
        <v/>
      </c>
      <c r="AX40" s="159" t="n">
        <v>0</v>
      </c>
      <c r="AY40" s="152">
        <f>MAX(0,AV40+AW40-AX40)</f>
        <v/>
      </c>
      <c r="AZ40" s="152">
        <f>BC39</f>
        <v/>
      </c>
      <c r="BA40" s="159">
        <f>IF(AZ40&gt;0.005,AZ40*Debts!D20/12,0)</f>
        <v/>
      </c>
      <c r="BB40" s="159" t="n">
        <v>0</v>
      </c>
      <c r="BC40" s="152">
        <f>MAX(0,AZ40+BA40-BB40)</f>
        <v/>
      </c>
      <c r="BD40" s="152">
        <f>BG39</f>
        <v/>
      </c>
      <c r="BE40" s="159">
        <f>IF(BD40&gt;0.005,BD40*Debts!D21/12,0)</f>
        <v/>
      </c>
      <c r="BF40" s="159" t="n">
        <v>0</v>
      </c>
      <c r="BG40" s="152">
        <f>MAX(0,BD40+BE40-BF40)</f>
        <v/>
      </c>
      <c r="BH40" s="152">
        <f>BK39</f>
        <v/>
      </c>
      <c r="BI40" s="159">
        <f>IF(BH40&gt;0.005,BH40*Debts!D22/12,0)</f>
        <v/>
      </c>
      <c r="BJ40" s="159" t="n">
        <v>0</v>
      </c>
      <c r="BK40" s="152">
        <f>MAX(0,BH40+BI40-BJ40)</f>
        <v/>
      </c>
      <c r="BL40" s="152">
        <f>BO39</f>
        <v/>
      </c>
      <c r="BM40" s="159">
        <f>IF(BL40&gt;0.005,BL40*Debts!D23/12,0)</f>
        <v/>
      </c>
      <c r="BN40" s="159" t="n">
        <v>0</v>
      </c>
      <c r="BO40" s="152">
        <f>MAX(0,BL40+BM40-BN40)</f>
        <v/>
      </c>
      <c r="BP40" s="152">
        <f>BS39</f>
        <v/>
      </c>
      <c r="BQ40" s="159">
        <f>IF(BP40&gt;0.005,BP40*Debts!D24/12,0)</f>
        <v/>
      </c>
      <c r="BR40" s="159" t="n">
        <v>0</v>
      </c>
      <c r="BS40" s="152">
        <f>MAX(0,BP40+BQ40-BR40)</f>
        <v/>
      </c>
      <c r="BT40" s="152">
        <f>BW39</f>
        <v/>
      </c>
      <c r="BU40" s="159">
        <f>IF(BT40&gt;0.005,BT40*Debts!D25/12,0)</f>
        <v/>
      </c>
      <c r="BV40" s="159" t="n">
        <v>0</v>
      </c>
      <c r="BW40" s="152">
        <f>MAX(0,BT40+BU40-BV40)</f>
        <v/>
      </c>
      <c r="BX40" s="152">
        <f>CA39</f>
        <v/>
      </c>
      <c r="BY40" s="159">
        <f>IF(BX40&gt;0.005,BX40*Debts!D26/12,0)</f>
        <v/>
      </c>
      <c r="BZ40" s="159" t="n">
        <v>0</v>
      </c>
      <c r="CA40" s="152">
        <f>MAX(0,BX40+BY40-BZ40)</f>
        <v/>
      </c>
      <c r="CB40" s="152">
        <f>CE39</f>
        <v/>
      </c>
      <c r="CC40" s="159">
        <f>IF(CB40&gt;0.005,CB40*Debts!D27/12,0)</f>
        <v/>
      </c>
      <c r="CD40" s="159" t="n">
        <v>0</v>
      </c>
      <c r="CE40" s="152">
        <f>MAX(0,CB40+CC40-CD40)</f>
        <v/>
      </c>
      <c r="CF40" s="152">
        <f>G40+K40+O40+S40+W40+AA40+AE40+AI40+AM40+AQ40+AU40+AY40+BC40+BG40+BK40+BO40+BS40+BW40+CA40+CE40</f>
        <v/>
      </c>
      <c r="CG40" s="159">
        <f>E40+I40+M40+Q40+U40+Y40+AC40+AG40+AK40+AO40+AS40+AW40+BA40+BE40+BI40+BM40+BQ40+BU40+BY40+CC40</f>
        <v/>
      </c>
      <c r="CH40" s="152">
        <f>CH39+CG40</f>
        <v/>
      </c>
      <c r="CI40" s="148" t="n"/>
      <c r="CJ40" s="148" t="n"/>
    </row>
    <row r="41" ht="15" customHeight="1" s="83">
      <c r="A41" s="148" t="n"/>
      <c r="B41" s="158" t="n">
        <v>37</v>
      </c>
      <c r="C41" s="152">
        <f>F41+J41+N41+R41+V41+Z41+AD41+AH41+AL41+AP41+AT41+AX41+BB41+BF41+BJ41+BN41+BR41+BV41+BZ41+CD41</f>
        <v/>
      </c>
      <c r="D41" s="152">
        <f>G40</f>
        <v/>
      </c>
      <c r="E41" s="159">
        <f>IF(D41&gt;0.005,D41*Debts!D8/12,0)</f>
        <v/>
      </c>
      <c r="F41" s="159" t="n">
        <v>0</v>
      </c>
      <c r="G41" s="152">
        <f>MAX(0,D41+E41-F41)</f>
        <v/>
      </c>
      <c r="H41" s="152">
        <f>K40</f>
        <v/>
      </c>
      <c r="I41" s="159">
        <f>IF(H41&gt;0.005,H41*Debts!D9/12,0)</f>
        <v/>
      </c>
      <c r="J41" s="159" t="n">
        <v>0</v>
      </c>
      <c r="K41" s="152">
        <f>MAX(0,H41+I41-J41)</f>
        <v/>
      </c>
      <c r="L41" s="152">
        <f>O40</f>
        <v/>
      </c>
      <c r="M41" s="159">
        <f>IF(L41&gt;0.005,L41*Debts!D10/12,0)</f>
        <v/>
      </c>
      <c r="N41" s="159" t="n">
        <v>0</v>
      </c>
      <c r="O41" s="152">
        <f>MAX(0,L41+M41-N41)</f>
        <v/>
      </c>
      <c r="P41" s="152">
        <f>S40</f>
        <v/>
      </c>
      <c r="Q41" s="159">
        <f>IF(P41&gt;0.005,P41*Debts!D11/12,0)</f>
        <v/>
      </c>
      <c r="R41" s="159" t="n">
        <v>0</v>
      </c>
      <c r="S41" s="152">
        <f>MAX(0,P41+Q41-R41)</f>
        <v/>
      </c>
      <c r="T41" s="152">
        <f>W40</f>
        <v/>
      </c>
      <c r="U41" s="159">
        <f>IF(T41&gt;0.005,T41*Debts!D12/12,0)</f>
        <v/>
      </c>
      <c r="V41" s="159" t="n">
        <v>0</v>
      </c>
      <c r="W41" s="152">
        <f>MAX(0,T41+U41-V41)</f>
        <v/>
      </c>
      <c r="X41" s="152">
        <f>AA40</f>
        <v/>
      </c>
      <c r="Y41" s="159">
        <f>IF(X41&gt;0.005,X41*Debts!D13/12,0)</f>
        <v/>
      </c>
      <c r="Z41" s="159" t="n">
        <v>0</v>
      </c>
      <c r="AA41" s="152">
        <f>MAX(0,X41+Y41-Z41)</f>
        <v/>
      </c>
      <c r="AB41" s="152">
        <f>AE40</f>
        <v/>
      </c>
      <c r="AC41" s="159">
        <f>IF(AB41&gt;0.005,AB41*Debts!D14/12,0)</f>
        <v/>
      </c>
      <c r="AD41" s="159" t="n">
        <v>0</v>
      </c>
      <c r="AE41" s="152">
        <f>MAX(0,AB41+AC41-AD41)</f>
        <v/>
      </c>
      <c r="AF41" s="152">
        <f>AI40</f>
        <v/>
      </c>
      <c r="AG41" s="159">
        <f>IF(AF41&gt;0.005,AF41*Debts!D15/12,0)</f>
        <v/>
      </c>
      <c r="AH41" s="159" t="n">
        <v>0</v>
      </c>
      <c r="AI41" s="152">
        <f>MAX(0,AF41+AG41-AH41)</f>
        <v/>
      </c>
      <c r="AJ41" s="152">
        <f>AM40</f>
        <v/>
      </c>
      <c r="AK41" s="159">
        <f>IF(AJ41&gt;0.005,AJ41*Debts!D16/12,0)</f>
        <v/>
      </c>
      <c r="AL41" s="159" t="n">
        <v>0</v>
      </c>
      <c r="AM41" s="152">
        <f>MAX(0,AJ41+AK41-AL41)</f>
        <v/>
      </c>
      <c r="AN41" s="152">
        <f>AQ40</f>
        <v/>
      </c>
      <c r="AO41" s="159">
        <f>IF(AN41&gt;0.005,AN41*Debts!D17/12,0)</f>
        <v/>
      </c>
      <c r="AP41" s="159" t="n">
        <v>0</v>
      </c>
      <c r="AQ41" s="152">
        <f>MAX(0,AN41+AO41-AP41)</f>
        <v/>
      </c>
      <c r="AR41" s="152">
        <f>AU40</f>
        <v/>
      </c>
      <c r="AS41" s="159">
        <f>IF(AR41&gt;0.005,AR41*Debts!D18/12,0)</f>
        <v/>
      </c>
      <c r="AT41" s="159" t="n">
        <v>0</v>
      </c>
      <c r="AU41" s="152">
        <f>MAX(0,AR41+AS41-AT41)</f>
        <v/>
      </c>
      <c r="AV41" s="152">
        <f>AY40</f>
        <v/>
      </c>
      <c r="AW41" s="159">
        <f>IF(AV41&gt;0.005,AV41*Debts!D19/12,0)</f>
        <v/>
      </c>
      <c r="AX41" s="159" t="n">
        <v>0</v>
      </c>
      <c r="AY41" s="152">
        <f>MAX(0,AV41+AW41-AX41)</f>
        <v/>
      </c>
      <c r="AZ41" s="152">
        <f>BC40</f>
        <v/>
      </c>
      <c r="BA41" s="159">
        <f>IF(AZ41&gt;0.005,AZ41*Debts!D20/12,0)</f>
        <v/>
      </c>
      <c r="BB41" s="159" t="n">
        <v>0</v>
      </c>
      <c r="BC41" s="152">
        <f>MAX(0,AZ41+BA41-BB41)</f>
        <v/>
      </c>
      <c r="BD41" s="152">
        <f>BG40</f>
        <v/>
      </c>
      <c r="BE41" s="159">
        <f>IF(BD41&gt;0.005,BD41*Debts!D21/12,0)</f>
        <v/>
      </c>
      <c r="BF41" s="159" t="n">
        <v>0</v>
      </c>
      <c r="BG41" s="152">
        <f>MAX(0,BD41+BE41-BF41)</f>
        <v/>
      </c>
      <c r="BH41" s="152">
        <f>BK40</f>
        <v/>
      </c>
      <c r="BI41" s="159">
        <f>IF(BH41&gt;0.005,BH41*Debts!D22/12,0)</f>
        <v/>
      </c>
      <c r="BJ41" s="159" t="n">
        <v>0</v>
      </c>
      <c r="BK41" s="152">
        <f>MAX(0,BH41+BI41-BJ41)</f>
        <v/>
      </c>
      <c r="BL41" s="152">
        <f>BO40</f>
        <v/>
      </c>
      <c r="BM41" s="159">
        <f>IF(BL41&gt;0.005,BL41*Debts!D23/12,0)</f>
        <v/>
      </c>
      <c r="BN41" s="159" t="n">
        <v>0</v>
      </c>
      <c r="BO41" s="152">
        <f>MAX(0,BL41+BM41-BN41)</f>
        <v/>
      </c>
      <c r="BP41" s="152">
        <f>BS40</f>
        <v/>
      </c>
      <c r="BQ41" s="159">
        <f>IF(BP41&gt;0.005,BP41*Debts!D24/12,0)</f>
        <v/>
      </c>
      <c r="BR41" s="159" t="n">
        <v>0</v>
      </c>
      <c r="BS41" s="152">
        <f>MAX(0,BP41+BQ41-BR41)</f>
        <v/>
      </c>
      <c r="BT41" s="152">
        <f>BW40</f>
        <v/>
      </c>
      <c r="BU41" s="159">
        <f>IF(BT41&gt;0.005,BT41*Debts!D25/12,0)</f>
        <v/>
      </c>
      <c r="BV41" s="159" t="n">
        <v>0</v>
      </c>
      <c r="BW41" s="152">
        <f>MAX(0,BT41+BU41-BV41)</f>
        <v/>
      </c>
      <c r="BX41" s="152">
        <f>CA40</f>
        <v/>
      </c>
      <c r="BY41" s="159">
        <f>IF(BX41&gt;0.005,BX41*Debts!D26/12,0)</f>
        <v/>
      </c>
      <c r="BZ41" s="159" t="n">
        <v>0</v>
      </c>
      <c r="CA41" s="152">
        <f>MAX(0,BX41+BY41-BZ41)</f>
        <v/>
      </c>
      <c r="CB41" s="152">
        <f>CE40</f>
        <v/>
      </c>
      <c r="CC41" s="159">
        <f>IF(CB41&gt;0.005,CB41*Debts!D27/12,0)</f>
        <v/>
      </c>
      <c r="CD41" s="159" t="n">
        <v>0</v>
      </c>
      <c r="CE41" s="152">
        <f>MAX(0,CB41+CC41-CD41)</f>
        <v/>
      </c>
      <c r="CF41" s="152">
        <f>G41+K41+O41+S41+W41+AA41+AE41+AI41+AM41+AQ41+AU41+AY41+BC41+BG41+BK41+BO41+BS41+BW41+CA41+CE41</f>
        <v/>
      </c>
      <c r="CG41" s="159">
        <f>E41+I41+M41+Q41+U41+Y41+AC41+AG41+AK41+AO41+AS41+AW41+BA41+BE41+BI41+BM41+BQ41+BU41+BY41+CC41</f>
        <v/>
      </c>
      <c r="CH41" s="152">
        <f>CH40+CG41</f>
        <v/>
      </c>
      <c r="CI41" s="148" t="n"/>
      <c r="CJ41" s="148" t="n"/>
    </row>
    <row r="42" ht="15" customHeight="1" s="83">
      <c r="A42" s="148" t="n"/>
      <c r="B42" s="158" t="n">
        <v>38</v>
      </c>
      <c r="C42" s="152">
        <f>F42+J42+N42+R42+V42+Z42+AD42+AH42+AL42+AP42+AT42+AX42+BB42+BF42+BJ42+BN42+BR42+BV42+BZ42+CD42</f>
        <v/>
      </c>
      <c r="D42" s="152">
        <f>G41</f>
        <v/>
      </c>
      <c r="E42" s="159">
        <f>IF(D42&gt;0.005,D42*Debts!D8/12,0)</f>
        <v/>
      </c>
      <c r="F42" s="159" t="n">
        <v>0</v>
      </c>
      <c r="G42" s="152">
        <f>MAX(0,D42+E42-F42)</f>
        <v/>
      </c>
      <c r="H42" s="152">
        <f>K41</f>
        <v/>
      </c>
      <c r="I42" s="159">
        <f>IF(H42&gt;0.005,H42*Debts!D9/12,0)</f>
        <v/>
      </c>
      <c r="J42" s="159" t="n">
        <v>0</v>
      </c>
      <c r="K42" s="152">
        <f>MAX(0,H42+I42-J42)</f>
        <v/>
      </c>
      <c r="L42" s="152">
        <f>O41</f>
        <v/>
      </c>
      <c r="M42" s="159">
        <f>IF(L42&gt;0.005,L42*Debts!D10/12,0)</f>
        <v/>
      </c>
      <c r="N42" s="159" t="n">
        <v>0</v>
      </c>
      <c r="O42" s="152">
        <f>MAX(0,L42+M42-N42)</f>
        <v/>
      </c>
      <c r="P42" s="152">
        <f>S41</f>
        <v/>
      </c>
      <c r="Q42" s="159">
        <f>IF(P42&gt;0.005,P42*Debts!D11/12,0)</f>
        <v/>
      </c>
      <c r="R42" s="159" t="n">
        <v>0</v>
      </c>
      <c r="S42" s="152">
        <f>MAX(0,P42+Q42-R42)</f>
        <v/>
      </c>
      <c r="T42" s="152">
        <f>W41</f>
        <v/>
      </c>
      <c r="U42" s="159">
        <f>IF(T42&gt;0.005,T42*Debts!D12/12,0)</f>
        <v/>
      </c>
      <c r="V42" s="159" t="n">
        <v>0</v>
      </c>
      <c r="W42" s="152">
        <f>MAX(0,T42+U42-V42)</f>
        <v/>
      </c>
      <c r="X42" s="152">
        <f>AA41</f>
        <v/>
      </c>
      <c r="Y42" s="159">
        <f>IF(X42&gt;0.005,X42*Debts!D13/12,0)</f>
        <v/>
      </c>
      <c r="Z42" s="159" t="n">
        <v>0</v>
      </c>
      <c r="AA42" s="152">
        <f>MAX(0,X42+Y42-Z42)</f>
        <v/>
      </c>
      <c r="AB42" s="152">
        <f>AE41</f>
        <v/>
      </c>
      <c r="AC42" s="159">
        <f>IF(AB42&gt;0.005,AB42*Debts!D14/12,0)</f>
        <v/>
      </c>
      <c r="AD42" s="159" t="n">
        <v>0</v>
      </c>
      <c r="AE42" s="152">
        <f>MAX(0,AB42+AC42-AD42)</f>
        <v/>
      </c>
      <c r="AF42" s="152">
        <f>AI41</f>
        <v/>
      </c>
      <c r="AG42" s="159">
        <f>IF(AF42&gt;0.005,AF42*Debts!D15/12,0)</f>
        <v/>
      </c>
      <c r="AH42" s="159" t="n">
        <v>0</v>
      </c>
      <c r="AI42" s="152">
        <f>MAX(0,AF42+AG42-AH42)</f>
        <v/>
      </c>
      <c r="AJ42" s="152">
        <f>AM41</f>
        <v/>
      </c>
      <c r="AK42" s="159">
        <f>IF(AJ42&gt;0.005,AJ42*Debts!D16/12,0)</f>
        <v/>
      </c>
      <c r="AL42" s="159" t="n">
        <v>0</v>
      </c>
      <c r="AM42" s="152">
        <f>MAX(0,AJ42+AK42-AL42)</f>
        <v/>
      </c>
      <c r="AN42" s="152">
        <f>AQ41</f>
        <v/>
      </c>
      <c r="AO42" s="159">
        <f>IF(AN42&gt;0.005,AN42*Debts!D17/12,0)</f>
        <v/>
      </c>
      <c r="AP42" s="159" t="n">
        <v>0</v>
      </c>
      <c r="AQ42" s="152">
        <f>MAX(0,AN42+AO42-AP42)</f>
        <v/>
      </c>
      <c r="AR42" s="152">
        <f>AU41</f>
        <v/>
      </c>
      <c r="AS42" s="159">
        <f>IF(AR42&gt;0.005,AR42*Debts!D18/12,0)</f>
        <v/>
      </c>
      <c r="AT42" s="159" t="n">
        <v>0</v>
      </c>
      <c r="AU42" s="152">
        <f>MAX(0,AR42+AS42-AT42)</f>
        <v/>
      </c>
      <c r="AV42" s="152">
        <f>AY41</f>
        <v/>
      </c>
      <c r="AW42" s="159">
        <f>IF(AV42&gt;0.005,AV42*Debts!D19/12,0)</f>
        <v/>
      </c>
      <c r="AX42" s="159" t="n">
        <v>0</v>
      </c>
      <c r="AY42" s="152">
        <f>MAX(0,AV42+AW42-AX42)</f>
        <v/>
      </c>
      <c r="AZ42" s="152">
        <f>BC41</f>
        <v/>
      </c>
      <c r="BA42" s="159">
        <f>IF(AZ42&gt;0.005,AZ42*Debts!D20/12,0)</f>
        <v/>
      </c>
      <c r="BB42" s="159" t="n">
        <v>0</v>
      </c>
      <c r="BC42" s="152">
        <f>MAX(0,AZ42+BA42-BB42)</f>
        <v/>
      </c>
      <c r="BD42" s="152">
        <f>BG41</f>
        <v/>
      </c>
      <c r="BE42" s="159">
        <f>IF(BD42&gt;0.005,BD42*Debts!D21/12,0)</f>
        <v/>
      </c>
      <c r="BF42" s="159" t="n">
        <v>0</v>
      </c>
      <c r="BG42" s="152">
        <f>MAX(0,BD42+BE42-BF42)</f>
        <v/>
      </c>
      <c r="BH42" s="152">
        <f>BK41</f>
        <v/>
      </c>
      <c r="BI42" s="159">
        <f>IF(BH42&gt;0.005,BH42*Debts!D22/12,0)</f>
        <v/>
      </c>
      <c r="BJ42" s="159" t="n">
        <v>0</v>
      </c>
      <c r="BK42" s="152">
        <f>MAX(0,BH42+BI42-BJ42)</f>
        <v/>
      </c>
      <c r="BL42" s="152">
        <f>BO41</f>
        <v/>
      </c>
      <c r="BM42" s="159">
        <f>IF(BL42&gt;0.005,BL42*Debts!D23/12,0)</f>
        <v/>
      </c>
      <c r="BN42" s="159" t="n">
        <v>0</v>
      </c>
      <c r="BO42" s="152">
        <f>MAX(0,BL42+BM42-BN42)</f>
        <v/>
      </c>
      <c r="BP42" s="152">
        <f>BS41</f>
        <v/>
      </c>
      <c r="BQ42" s="159">
        <f>IF(BP42&gt;0.005,BP42*Debts!D24/12,0)</f>
        <v/>
      </c>
      <c r="BR42" s="159" t="n">
        <v>0</v>
      </c>
      <c r="BS42" s="152">
        <f>MAX(0,BP42+BQ42-BR42)</f>
        <v/>
      </c>
      <c r="BT42" s="152">
        <f>BW41</f>
        <v/>
      </c>
      <c r="BU42" s="159">
        <f>IF(BT42&gt;0.005,BT42*Debts!D25/12,0)</f>
        <v/>
      </c>
      <c r="BV42" s="159" t="n">
        <v>0</v>
      </c>
      <c r="BW42" s="152">
        <f>MAX(0,BT42+BU42-BV42)</f>
        <v/>
      </c>
      <c r="BX42" s="152">
        <f>CA41</f>
        <v/>
      </c>
      <c r="BY42" s="159">
        <f>IF(BX42&gt;0.005,BX42*Debts!D26/12,0)</f>
        <v/>
      </c>
      <c r="BZ42" s="159" t="n">
        <v>0</v>
      </c>
      <c r="CA42" s="152">
        <f>MAX(0,BX42+BY42-BZ42)</f>
        <v/>
      </c>
      <c r="CB42" s="152">
        <f>CE41</f>
        <v/>
      </c>
      <c r="CC42" s="159">
        <f>IF(CB42&gt;0.005,CB42*Debts!D27/12,0)</f>
        <v/>
      </c>
      <c r="CD42" s="159" t="n">
        <v>0</v>
      </c>
      <c r="CE42" s="152">
        <f>MAX(0,CB42+CC42-CD42)</f>
        <v/>
      </c>
      <c r="CF42" s="152">
        <f>G42+K42+O42+S42+W42+AA42+AE42+AI42+AM42+AQ42+AU42+AY42+BC42+BG42+BK42+BO42+BS42+BW42+CA42+CE42</f>
        <v/>
      </c>
      <c r="CG42" s="159">
        <f>E42+I42+M42+Q42+U42+Y42+AC42+AG42+AK42+AO42+AS42+AW42+BA42+BE42+BI42+BM42+BQ42+BU42+BY42+CC42</f>
        <v/>
      </c>
      <c r="CH42" s="152">
        <f>CH41+CG42</f>
        <v/>
      </c>
      <c r="CI42" s="148" t="n"/>
      <c r="CJ42" s="148" t="n"/>
    </row>
    <row r="43" ht="15" customHeight="1" s="83">
      <c r="A43" s="148" t="n"/>
      <c r="B43" s="158" t="n">
        <v>39</v>
      </c>
      <c r="C43" s="152">
        <f>F43+J43+N43+R43+V43+Z43+AD43+AH43+AL43+AP43+AT43+AX43+BB43+BF43+BJ43+BN43+BR43+BV43+BZ43+CD43</f>
        <v/>
      </c>
      <c r="D43" s="152">
        <f>G42</f>
        <v/>
      </c>
      <c r="E43" s="159">
        <f>IF(D43&gt;0.005,D43*Debts!D8/12,0)</f>
        <v/>
      </c>
      <c r="F43" s="159" t="n">
        <v>0</v>
      </c>
      <c r="G43" s="152">
        <f>MAX(0,D43+E43-F43)</f>
        <v/>
      </c>
      <c r="H43" s="152">
        <f>K42</f>
        <v/>
      </c>
      <c r="I43" s="159">
        <f>IF(H43&gt;0.005,H43*Debts!D9/12,0)</f>
        <v/>
      </c>
      <c r="J43" s="159" t="n">
        <v>0</v>
      </c>
      <c r="K43" s="152">
        <f>MAX(0,H43+I43-J43)</f>
        <v/>
      </c>
      <c r="L43" s="152">
        <f>O42</f>
        <v/>
      </c>
      <c r="M43" s="159">
        <f>IF(L43&gt;0.005,L43*Debts!D10/12,0)</f>
        <v/>
      </c>
      <c r="N43" s="159" t="n">
        <v>0</v>
      </c>
      <c r="O43" s="152">
        <f>MAX(0,L43+M43-N43)</f>
        <v/>
      </c>
      <c r="P43" s="152">
        <f>S42</f>
        <v/>
      </c>
      <c r="Q43" s="159">
        <f>IF(P43&gt;0.005,P43*Debts!D11/12,0)</f>
        <v/>
      </c>
      <c r="R43" s="159" t="n">
        <v>0</v>
      </c>
      <c r="S43" s="152">
        <f>MAX(0,P43+Q43-R43)</f>
        <v/>
      </c>
      <c r="T43" s="152">
        <f>W42</f>
        <v/>
      </c>
      <c r="U43" s="159">
        <f>IF(T43&gt;0.005,T43*Debts!D12/12,0)</f>
        <v/>
      </c>
      <c r="V43" s="159" t="n">
        <v>0</v>
      </c>
      <c r="W43" s="152">
        <f>MAX(0,T43+U43-V43)</f>
        <v/>
      </c>
      <c r="X43" s="152">
        <f>AA42</f>
        <v/>
      </c>
      <c r="Y43" s="159">
        <f>IF(X43&gt;0.005,X43*Debts!D13/12,0)</f>
        <v/>
      </c>
      <c r="Z43" s="159" t="n">
        <v>0</v>
      </c>
      <c r="AA43" s="152">
        <f>MAX(0,X43+Y43-Z43)</f>
        <v/>
      </c>
      <c r="AB43" s="152">
        <f>AE42</f>
        <v/>
      </c>
      <c r="AC43" s="159">
        <f>IF(AB43&gt;0.005,AB43*Debts!D14/12,0)</f>
        <v/>
      </c>
      <c r="AD43" s="159" t="n">
        <v>0</v>
      </c>
      <c r="AE43" s="152">
        <f>MAX(0,AB43+AC43-AD43)</f>
        <v/>
      </c>
      <c r="AF43" s="152">
        <f>AI42</f>
        <v/>
      </c>
      <c r="AG43" s="159">
        <f>IF(AF43&gt;0.005,AF43*Debts!D15/12,0)</f>
        <v/>
      </c>
      <c r="AH43" s="159" t="n">
        <v>0</v>
      </c>
      <c r="AI43" s="152">
        <f>MAX(0,AF43+AG43-AH43)</f>
        <v/>
      </c>
      <c r="AJ43" s="152">
        <f>AM42</f>
        <v/>
      </c>
      <c r="AK43" s="159">
        <f>IF(AJ43&gt;0.005,AJ43*Debts!D16/12,0)</f>
        <v/>
      </c>
      <c r="AL43" s="159" t="n">
        <v>0</v>
      </c>
      <c r="AM43" s="152">
        <f>MAX(0,AJ43+AK43-AL43)</f>
        <v/>
      </c>
      <c r="AN43" s="152">
        <f>AQ42</f>
        <v/>
      </c>
      <c r="AO43" s="159">
        <f>IF(AN43&gt;0.005,AN43*Debts!D17/12,0)</f>
        <v/>
      </c>
      <c r="AP43" s="159" t="n">
        <v>0</v>
      </c>
      <c r="AQ43" s="152">
        <f>MAX(0,AN43+AO43-AP43)</f>
        <v/>
      </c>
      <c r="AR43" s="152">
        <f>AU42</f>
        <v/>
      </c>
      <c r="AS43" s="159">
        <f>IF(AR43&gt;0.005,AR43*Debts!D18/12,0)</f>
        <v/>
      </c>
      <c r="AT43" s="159" t="n">
        <v>0</v>
      </c>
      <c r="AU43" s="152">
        <f>MAX(0,AR43+AS43-AT43)</f>
        <v/>
      </c>
      <c r="AV43" s="152">
        <f>AY42</f>
        <v/>
      </c>
      <c r="AW43" s="159">
        <f>IF(AV43&gt;0.005,AV43*Debts!D19/12,0)</f>
        <v/>
      </c>
      <c r="AX43" s="159" t="n">
        <v>0</v>
      </c>
      <c r="AY43" s="152">
        <f>MAX(0,AV43+AW43-AX43)</f>
        <v/>
      </c>
      <c r="AZ43" s="152">
        <f>BC42</f>
        <v/>
      </c>
      <c r="BA43" s="159">
        <f>IF(AZ43&gt;0.005,AZ43*Debts!D20/12,0)</f>
        <v/>
      </c>
      <c r="BB43" s="159" t="n">
        <v>0</v>
      </c>
      <c r="BC43" s="152">
        <f>MAX(0,AZ43+BA43-BB43)</f>
        <v/>
      </c>
      <c r="BD43" s="152">
        <f>BG42</f>
        <v/>
      </c>
      <c r="BE43" s="159">
        <f>IF(BD43&gt;0.005,BD43*Debts!D21/12,0)</f>
        <v/>
      </c>
      <c r="BF43" s="159" t="n">
        <v>0</v>
      </c>
      <c r="BG43" s="152">
        <f>MAX(0,BD43+BE43-BF43)</f>
        <v/>
      </c>
      <c r="BH43" s="152">
        <f>BK42</f>
        <v/>
      </c>
      <c r="BI43" s="159">
        <f>IF(BH43&gt;0.005,BH43*Debts!D22/12,0)</f>
        <v/>
      </c>
      <c r="BJ43" s="159" t="n">
        <v>0</v>
      </c>
      <c r="BK43" s="152">
        <f>MAX(0,BH43+BI43-BJ43)</f>
        <v/>
      </c>
      <c r="BL43" s="152">
        <f>BO42</f>
        <v/>
      </c>
      <c r="BM43" s="159">
        <f>IF(BL43&gt;0.005,BL43*Debts!D23/12,0)</f>
        <v/>
      </c>
      <c r="BN43" s="159" t="n">
        <v>0</v>
      </c>
      <c r="BO43" s="152">
        <f>MAX(0,BL43+BM43-BN43)</f>
        <v/>
      </c>
      <c r="BP43" s="152">
        <f>BS42</f>
        <v/>
      </c>
      <c r="BQ43" s="159">
        <f>IF(BP43&gt;0.005,BP43*Debts!D24/12,0)</f>
        <v/>
      </c>
      <c r="BR43" s="159" t="n">
        <v>0</v>
      </c>
      <c r="BS43" s="152">
        <f>MAX(0,BP43+BQ43-BR43)</f>
        <v/>
      </c>
      <c r="BT43" s="152">
        <f>BW42</f>
        <v/>
      </c>
      <c r="BU43" s="159">
        <f>IF(BT43&gt;0.005,BT43*Debts!D25/12,0)</f>
        <v/>
      </c>
      <c r="BV43" s="159" t="n">
        <v>0</v>
      </c>
      <c r="BW43" s="152">
        <f>MAX(0,BT43+BU43-BV43)</f>
        <v/>
      </c>
      <c r="BX43" s="152">
        <f>CA42</f>
        <v/>
      </c>
      <c r="BY43" s="159">
        <f>IF(BX43&gt;0.005,BX43*Debts!D26/12,0)</f>
        <v/>
      </c>
      <c r="BZ43" s="159" t="n">
        <v>0</v>
      </c>
      <c r="CA43" s="152">
        <f>MAX(0,BX43+BY43-BZ43)</f>
        <v/>
      </c>
      <c r="CB43" s="152">
        <f>CE42</f>
        <v/>
      </c>
      <c r="CC43" s="159">
        <f>IF(CB43&gt;0.005,CB43*Debts!D27/12,0)</f>
        <v/>
      </c>
      <c r="CD43" s="159" t="n">
        <v>0</v>
      </c>
      <c r="CE43" s="152">
        <f>MAX(0,CB43+CC43-CD43)</f>
        <v/>
      </c>
      <c r="CF43" s="152">
        <f>G43+K43+O43+S43+W43+AA43+AE43+AI43+AM43+AQ43+AU43+AY43+BC43+BG43+BK43+BO43+BS43+BW43+CA43+CE43</f>
        <v/>
      </c>
      <c r="CG43" s="159">
        <f>E43+I43+M43+Q43+U43+Y43+AC43+AG43+AK43+AO43+AS43+AW43+BA43+BE43+BI43+BM43+BQ43+BU43+BY43+CC43</f>
        <v/>
      </c>
      <c r="CH43" s="152">
        <f>CH42+CG43</f>
        <v/>
      </c>
      <c r="CI43" s="148" t="n"/>
      <c r="CJ43" s="148" t="n"/>
    </row>
    <row r="44" ht="15" customHeight="1" s="83">
      <c r="A44" s="148" t="n"/>
      <c r="B44" s="158" t="n">
        <v>40</v>
      </c>
      <c r="C44" s="152">
        <f>F44+J44+N44+R44+V44+Z44+AD44+AH44+AL44+AP44+AT44+AX44+BB44+BF44+BJ44+BN44+BR44+BV44+BZ44+CD44</f>
        <v/>
      </c>
      <c r="D44" s="152">
        <f>G43</f>
        <v/>
      </c>
      <c r="E44" s="159">
        <f>IF(D44&gt;0.005,D44*Debts!D8/12,0)</f>
        <v/>
      </c>
      <c r="F44" s="159" t="n">
        <v>0</v>
      </c>
      <c r="G44" s="152">
        <f>MAX(0,D44+E44-F44)</f>
        <v/>
      </c>
      <c r="H44" s="152">
        <f>K43</f>
        <v/>
      </c>
      <c r="I44" s="159">
        <f>IF(H44&gt;0.005,H44*Debts!D9/12,0)</f>
        <v/>
      </c>
      <c r="J44" s="159" t="n">
        <v>0</v>
      </c>
      <c r="K44" s="152">
        <f>MAX(0,H44+I44-J44)</f>
        <v/>
      </c>
      <c r="L44" s="152">
        <f>O43</f>
        <v/>
      </c>
      <c r="M44" s="159">
        <f>IF(L44&gt;0.005,L44*Debts!D10/12,0)</f>
        <v/>
      </c>
      <c r="N44" s="159" t="n">
        <v>0</v>
      </c>
      <c r="O44" s="152">
        <f>MAX(0,L44+M44-N44)</f>
        <v/>
      </c>
      <c r="P44" s="152">
        <f>S43</f>
        <v/>
      </c>
      <c r="Q44" s="159">
        <f>IF(P44&gt;0.005,P44*Debts!D11/12,0)</f>
        <v/>
      </c>
      <c r="R44" s="159" t="n">
        <v>0</v>
      </c>
      <c r="S44" s="152">
        <f>MAX(0,P44+Q44-R44)</f>
        <v/>
      </c>
      <c r="T44" s="152">
        <f>W43</f>
        <v/>
      </c>
      <c r="U44" s="159">
        <f>IF(T44&gt;0.005,T44*Debts!D12/12,0)</f>
        <v/>
      </c>
      <c r="V44" s="159" t="n">
        <v>0</v>
      </c>
      <c r="W44" s="152">
        <f>MAX(0,T44+U44-V44)</f>
        <v/>
      </c>
      <c r="X44" s="152">
        <f>AA43</f>
        <v/>
      </c>
      <c r="Y44" s="159">
        <f>IF(X44&gt;0.005,X44*Debts!D13/12,0)</f>
        <v/>
      </c>
      <c r="Z44" s="159" t="n">
        <v>0</v>
      </c>
      <c r="AA44" s="152">
        <f>MAX(0,X44+Y44-Z44)</f>
        <v/>
      </c>
      <c r="AB44" s="152">
        <f>AE43</f>
        <v/>
      </c>
      <c r="AC44" s="159">
        <f>IF(AB44&gt;0.005,AB44*Debts!D14/12,0)</f>
        <v/>
      </c>
      <c r="AD44" s="159" t="n">
        <v>0</v>
      </c>
      <c r="AE44" s="152">
        <f>MAX(0,AB44+AC44-AD44)</f>
        <v/>
      </c>
      <c r="AF44" s="152">
        <f>AI43</f>
        <v/>
      </c>
      <c r="AG44" s="159">
        <f>IF(AF44&gt;0.005,AF44*Debts!D15/12,0)</f>
        <v/>
      </c>
      <c r="AH44" s="159" t="n">
        <v>0</v>
      </c>
      <c r="AI44" s="152">
        <f>MAX(0,AF44+AG44-AH44)</f>
        <v/>
      </c>
      <c r="AJ44" s="152">
        <f>AM43</f>
        <v/>
      </c>
      <c r="AK44" s="159">
        <f>IF(AJ44&gt;0.005,AJ44*Debts!D16/12,0)</f>
        <v/>
      </c>
      <c r="AL44" s="159" t="n">
        <v>0</v>
      </c>
      <c r="AM44" s="152">
        <f>MAX(0,AJ44+AK44-AL44)</f>
        <v/>
      </c>
      <c r="AN44" s="152">
        <f>AQ43</f>
        <v/>
      </c>
      <c r="AO44" s="159">
        <f>IF(AN44&gt;0.005,AN44*Debts!D17/12,0)</f>
        <v/>
      </c>
      <c r="AP44" s="159" t="n">
        <v>0</v>
      </c>
      <c r="AQ44" s="152">
        <f>MAX(0,AN44+AO44-AP44)</f>
        <v/>
      </c>
      <c r="AR44" s="152">
        <f>AU43</f>
        <v/>
      </c>
      <c r="AS44" s="159">
        <f>IF(AR44&gt;0.005,AR44*Debts!D18/12,0)</f>
        <v/>
      </c>
      <c r="AT44" s="159" t="n">
        <v>0</v>
      </c>
      <c r="AU44" s="152">
        <f>MAX(0,AR44+AS44-AT44)</f>
        <v/>
      </c>
      <c r="AV44" s="152">
        <f>AY43</f>
        <v/>
      </c>
      <c r="AW44" s="159">
        <f>IF(AV44&gt;0.005,AV44*Debts!D19/12,0)</f>
        <v/>
      </c>
      <c r="AX44" s="159" t="n">
        <v>0</v>
      </c>
      <c r="AY44" s="152">
        <f>MAX(0,AV44+AW44-AX44)</f>
        <v/>
      </c>
      <c r="AZ44" s="152">
        <f>BC43</f>
        <v/>
      </c>
      <c r="BA44" s="159">
        <f>IF(AZ44&gt;0.005,AZ44*Debts!D20/12,0)</f>
        <v/>
      </c>
      <c r="BB44" s="159" t="n">
        <v>0</v>
      </c>
      <c r="BC44" s="152">
        <f>MAX(0,AZ44+BA44-BB44)</f>
        <v/>
      </c>
      <c r="BD44" s="152">
        <f>BG43</f>
        <v/>
      </c>
      <c r="BE44" s="159">
        <f>IF(BD44&gt;0.005,BD44*Debts!D21/12,0)</f>
        <v/>
      </c>
      <c r="BF44" s="159" t="n">
        <v>0</v>
      </c>
      <c r="BG44" s="152">
        <f>MAX(0,BD44+BE44-BF44)</f>
        <v/>
      </c>
      <c r="BH44" s="152">
        <f>BK43</f>
        <v/>
      </c>
      <c r="BI44" s="159">
        <f>IF(BH44&gt;0.005,BH44*Debts!D22/12,0)</f>
        <v/>
      </c>
      <c r="BJ44" s="159" t="n">
        <v>0</v>
      </c>
      <c r="BK44" s="152">
        <f>MAX(0,BH44+BI44-BJ44)</f>
        <v/>
      </c>
      <c r="BL44" s="152">
        <f>BO43</f>
        <v/>
      </c>
      <c r="BM44" s="159">
        <f>IF(BL44&gt;0.005,BL44*Debts!D23/12,0)</f>
        <v/>
      </c>
      <c r="BN44" s="159" t="n">
        <v>0</v>
      </c>
      <c r="BO44" s="152">
        <f>MAX(0,BL44+BM44-BN44)</f>
        <v/>
      </c>
      <c r="BP44" s="152">
        <f>BS43</f>
        <v/>
      </c>
      <c r="BQ44" s="159">
        <f>IF(BP44&gt;0.005,BP44*Debts!D24/12,0)</f>
        <v/>
      </c>
      <c r="BR44" s="159" t="n">
        <v>0</v>
      </c>
      <c r="BS44" s="152">
        <f>MAX(0,BP44+BQ44-BR44)</f>
        <v/>
      </c>
      <c r="BT44" s="152">
        <f>BW43</f>
        <v/>
      </c>
      <c r="BU44" s="159">
        <f>IF(BT44&gt;0.005,BT44*Debts!D25/12,0)</f>
        <v/>
      </c>
      <c r="BV44" s="159" t="n">
        <v>0</v>
      </c>
      <c r="BW44" s="152">
        <f>MAX(0,BT44+BU44-BV44)</f>
        <v/>
      </c>
      <c r="BX44" s="152">
        <f>CA43</f>
        <v/>
      </c>
      <c r="BY44" s="159">
        <f>IF(BX44&gt;0.005,BX44*Debts!D26/12,0)</f>
        <v/>
      </c>
      <c r="BZ44" s="159" t="n">
        <v>0</v>
      </c>
      <c r="CA44" s="152">
        <f>MAX(0,BX44+BY44-BZ44)</f>
        <v/>
      </c>
      <c r="CB44" s="152">
        <f>CE43</f>
        <v/>
      </c>
      <c r="CC44" s="159">
        <f>IF(CB44&gt;0.005,CB44*Debts!D27/12,0)</f>
        <v/>
      </c>
      <c r="CD44" s="159" t="n">
        <v>0</v>
      </c>
      <c r="CE44" s="152">
        <f>MAX(0,CB44+CC44-CD44)</f>
        <v/>
      </c>
      <c r="CF44" s="152">
        <f>G44+K44+O44+S44+W44+AA44+AE44+AI44+AM44+AQ44+AU44+AY44+BC44+BG44+BK44+BO44+BS44+BW44+CA44+CE44</f>
        <v/>
      </c>
      <c r="CG44" s="159">
        <f>E44+I44+M44+Q44+U44+Y44+AC44+AG44+AK44+AO44+AS44+AW44+BA44+BE44+BI44+BM44+BQ44+BU44+BY44+CC44</f>
        <v/>
      </c>
      <c r="CH44" s="152">
        <f>CH43+CG44</f>
        <v/>
      </c>
      <c r="CI44" s="148" t="n"/>
      <c r="CJ44" s="148" t="n"/>
    </row>
    <row r="45" ht="15" customHeight="1" s="83">
      <c r="A45" s="148" t="n"/>
      <c r="B45" s="158" t="n">
        <v>41</v>
      </c>
      <c r="C45" s="152">
        <f>F45+J45+N45+R45+V45+Z45+AD45+AH45+AL45+AP45+AT45+AX45+BB45+BF45+BJ45+BN45+BR45+BV45+BZ45+CD45</f>
        <v/>
      </c>
      <c r="D45" s="152">
        <f>G44</f>
        <v/>
      </c>
      <c r="E45" s="159">
        <f>IF(D45&gt;0.005,D45*Debts!D8/12,0)</f>
        <v/>
      </c>
      <c r="F45" s="159" t="n">
        <v>0</v>
      </c>
      <c r="G45" s="152">
        <f>MAX(0,D45+E45-F45)</f>
        <v/>
      </c>
      <c r="H45" s="152">
        <f>K44</f>
        <v/>
      </c>
      <c r="I45" s="159">
        <f>IF(H45&gt;0.005,H45*Debts!D9/12,0)</f>
        <v/>
      </c>
      <c r="J45" s="159" t="n">
        <v>0</v>
      </c>
      <c r="K45" s="152">
        <f>MAX(0,H45+I45-J45)</f>
        <v/>
      </c>
      <c r="L45" s="152">
        <f>O44</f>
        <v/>
      </c>
      <c r="M45" s="159">
        <f>IF(L45&gt;0.005,L45*Debts!D10/12,0)</f>
        <v/>
      </c>
      <c r="N45" s="159" t="n">
        <v>0</v>
      </c>
      <c r="O45" s="152">
        <f>MAX(0,L45+M45-N45)</f>
        <v/>
      </c>
      <c r="P45" s="152">
        <f>S44</f>
        <v/>
      </c>
      <c r="Q45" s="159">
        <f>IF(P45&gt;0.005,P45*Debts!D11/12,0)</f>
        <v/>
      </c>
      <c r="R45" s="159" t="n">
        <v>0</v>
      </c>
      <c r="S45" s="152">
        <f>MAX(0,P45+Q45-R45)</f>
        <v/>
      </c>
      <c r="T45" s="152">
        <f>W44</f>
        <v/>
      </c>
      <c r="U45" s="159">
        <f>IF(T45&gt;0.005,T45*Debts!D12/12,0)</f>
        <v/>
      </c>
      <c r="V45" s="159" t="n">
        <v>0</v>
      </c>
      <c r="W45" s="152">
        <f>MAX(0,T45+U45-V45)</f>
        <v/>
      </c>
      <c r="X45" s="152">
        <f>AA44</f>
        <v/>
      </c>
      <c r="Y45" s="159">
        <f>IF(X45&gt;0.005,X45*Debts!D13/12,0)</f>
        <v/>
      </c>
      <c r="Z45" s="159" t="n">
        <v>0</v>
      </c>
      <c r="AA45" s="152">
        <f>MAX(0,X45+Y45-Z45)</f>
        <v/>
      </c>
      <c r="AB45" s="152">
        <f>AE44</f>
        <v/>
      </c>
      <c r="AC45" s="159">
        <f>IF(AB45&gt;0.005,AB45*Debts!D14/12,0)</f>
        <v/>
      </c>
      <c r="AD45" s="159" t="n">
        <v>0</v>
      </c>
      <c r="AE45" s="152">
        <f>MAX(0,AB45+AC45-AD45)</f>
        <v/>
      </c>
      <c r="AF45" s="152">
        <f>AI44</f>
        <v/>
      </c>
      <c r="AG45" s="159">
        <f>IF(AF45&gt;0.005,AF45*Debts!D15/12,0)</f>
        <v/>
      </c>
      <c r="AH45" s="159" t="n">
        <v>0</v>
      </c>
      <c r="AI45" s="152">
        <f>MAX(0,AF45+AG45-AH45)</f>
        <v/>
      </c>
      <c r="AJ45" s="152">
        <f>AM44</f>
        <v/>
      </c>
      <c r="AK45" s="159">
        <f>IF(AJ45&gt;0.005,AJ45*Debts!D16/12,0)</f>
        <v/>
      </c>
      <c r="AL45" s="159" t="n">
        <v>0</v>
      </c>
      <c r="AM45" s="152">
        <f>MAX(0,AJ45+AK45-AL45)</f>
        <v/>
      </c>
      <c r="AN45" s="152">
        <f>AQ44</f>
        <v/>
      </c>
      <c r="AO45" s="159">
        <f>IF(AN45&gt;0.005,AN45*Debts!D17/12,0)</f>
        <v/>
      </c>
      <c r="AP45" s="159" t="n">
        <v>0</v>
      </c>
      <c r="AQ45" s="152">
        <f>MAX(0,AN45+AO45-AP45)</f>
        <v/>
      </c>
      <c r="AR45" s="152">
        <f>AU44</f>
        <v/>
      </c>
      <c r="AS45" s="159">
        <f>IF(AR45&gt;0.005,AR45*Debts!D18/12,0)</f>
        <v/>
      </c>
      <c r="AT45" s="159" t="n">
        <v>0</v>
      </c>
      <c r="AU45" s="152">
        <f>MAX(0,AR45+AS45-AT45)</f>
        <v/>
      </c>
      <c r="AV45" s="152">
        <f>AY44</f>
        <v/>
      </c>
      <c r="AW45" s="159">
        <f>IF(AV45&gt;0.005,AV45*Debts!D19/12,0)</f>
        <v/>
      </c>
      <c r="AX45" s="159" t="n">
        <v>0</v>
      </c>
      <c r="AY45" s="152">
        <f>MAX(0,AV45+AW45-AX45)</f>
        <v/>
      </c>
      <c r="AZ45" s="152">
        <f>BC44</f>
        <v/>
      </c>
      <c r="BA45" s="159">
        <f>IF(AZ45&gt;0.005,AZ45*Debts!D20/12,0)</f>
        <v/>
      </c>
      <c r="BB45" s="159" t="n">
        <v>0</v>
      </c>
      <c r="BC45" s="152">
        <f>MAX(0,AZ45+BA45-BB45)</f>
        <v/>
      </c>
      <c r="BD45" s="152">
        <f>BG44</f>
        <v/>
      </c>
      <c r="BE45" s="159">
        <f>IF(BD45&gt;0.005,BD45*Debts!D21/12,0)</f>
        <v/>
      </c>
      <c r="BF45" s="159" t="n">
        <v>0</v>
      </c>
      <c r="BG45" s="152">
        <f>MAX(0,BD45+BE45-BF45)</f>
        <v/>
      </c>
      <c r="BH45" s="152">
        <f>BK44</f>
        <v/>
      </c>
      <c r="BI45" s="159">
        <f>IF(BH45&gt;0.005,BH45*Debts!D22/12,0)</f>
        <v/>
      </c>
      <c r="BJ45" s="159" t="n">
        <v>0</v>
      </c>
      <c r="BK45" s="152">
        <f>MAX(0,BH45+BI45-BJ45)</f>
        <v/>
      </c>
      <c r="BL45" s="152">
        <f>BO44</f>
        <v/>
      </c>
      <c r="BM45" s="159">
        <f>IF(BL45&gt;0.005,BL45*Debts!D23/12,0)</f>
        <v/>
      </c>
      <c r="BN45" s="159" t="n">
        <v>0</v>
      </c>
      <c r="BO45" s="152">
        <f>MAX(0,BL45+BM45-BN45)</f>
        <v/>
      </c>
      <c r="BP45" s="152">
        <f>BS44</f>
        <v/>
      </c>
      <c r="BQ45" s="159">
        <f>IF(BP45&gt;0.005,BP45*Debts!D24/12,0)</f>
        <v/>
      </c>
      <c r="BR45" s="159" t="n">
        <v>0</v>
      </c>
      <c r="BS45" s="152">
        <f>MAX(0,BP45+BQ45-BR45)</f>
        <v/>
      </c>
      <c r="BT45" s="152">
        <f>BW44</f>
        <v/>
      </c>
      <c r="BU45" s="159">
        <f>IF(BT45&gt;0.005,BT45*Debts!D25/12,0)</f>
        <v/>
      </c>
      <c r="BV45" s="159" t="n">
        <v>0</v>
      </c>
      <c r="BW45" s="152">
        <f>MAX(0,BT45+BU45-BV45)</f>
        <v/>
      </c>
      <c r="BX45" s="152">
        <f>CA44</f>
        <v/>
      </c>
      <c r="BY45" s="159">
        <f>IF(BX45&gt;0.005,BX45*Debts!D26/12,0)</f>
        <v/>
      </c>
      <c r="BZ45" s="159" t="n">
        <v>0</v>
      </c>
      <c r="CA45" s="152">
        <f>MAX(0,BX45+BY45-BZ45)</f>
        <v/>
      </c>
      <c r="CB45" s="152">
        <f>CE44</f>
        <v/>
      </c>
      <c r="CC45" s="159">
        <f>IF(CB45&gt;0.005,CB45*Debts!D27/12,0)</f>
        <v/>
      </c>
      <c r="CD45" s="159" t="n">
        <v>0</v>
      </c>
      <c r="CE45" s="152">
        <f>MAX(0,CB45+CC45-CD45)</f>
        <v/>
      </c>
      <c r="CF45" s="152">
        <f>G45+K45+O45+S45+W45+AA45+AE45+AI45+AM45+AQ45+AU45+AY45+BC45+BG45+BK45+BO45+BS45+BW45+CA45+CE45</f>
        <v/>
      </c>
      <c r="CG45" s="159">
        <f>E45+I45+M45+Q45+U45+Y45+AC45+AG45+AK45+AO45+AS45+AW45+BA45+BE45+BI45+BM45+BQ45+BU45+BY45+CC45</f>
        <v/>
      </c>
      <c r="CH45" s="152">
        <f>CH44+CG45</f>
        <v/>
      </c>
      <c r="CI45" s="148" t="n"/>
      <c r="CJ45" s="148" t="n"/>
    </row>
    <row r="46" ht="15" customHeight="1" s="83">
      <c r="A46" s="148" t="n"/>
      <c r="B46" s="158" t="n">
        <v>42</v>
      </c>
      <c r="C46" s="152">
        <f>F46+J46+N46+R46+V46+Z46+AD46+AH46+AL46+AP46+AT46+AX46+BB46+BF46+BJ46+BN46+BR46+BV46+BZ46+CD46</f>
        <v/>
      </c>
      <c r="D46" s="152">
        <f>G45</f>
        <v/>
      </c>
      <c r="E46" s="159">
        <f>IF(D46&gt;0.005,D46*Debts!D8/12,0)</f>
        <v/>
      </c>
      <c r="F46" s="159" t="n">
        <v>0</v>
      </c>
      <c r="G46" s="152">
        <f>MAX(0,D46+E46-F46)</f>
        <v/>
      </c>
      <c r="H46" s="152">
        <f>K45</f>
        <v/>
      </c>
      <c r="I46" s="159">
        <f>IF(H46&gt;0.005,H46*Debts!D9/12,0)</f>
        <v/>
      </c>
      <c r="J46" s="159" t="n">
        <v>0</v>
      </c>
      <c r="K46" s="152">
        <f>MAX(0,H46+I46-J46)</f>
        <v/>
      </c>
      <c r="L46" s="152">
        <f>O45</f>
        <v/>
      </c>
      <c r="M46" s="159">
        <f>IF(L46&gt;0.005,L46*Debts!D10/12,0)</f>
        <v/>
      </c>
      <c r="N46" s="159" t="n">
        <v>0</v>
      </c>
      <c r="O46" s="152">
        <f>MAX(0,L46+M46-N46)</f>
        <v/>
      </c>
      <c r="P46" s="152">
        <f>S45</f>
        <v/>
      </c>
      <c r="Q46" s="159">
        <f>IF(P46&gt;0.005,P46*Debts!D11/12,0)</f>
        <v/>
      </c>
      <c r="R46" s="159" t="n">
        <v>0</v>
      </c>
      <c r="S46" s="152">
        <f>MAX(0,P46+Q46-R46)</f>
        <v/>
      </c>
      <c r="T46" s="152">
        <f>W45</f>
        <v/>
      </c>
      <c r="U46" s="159">
        <f>IF(T46&gt;0.005,T46*Debts!D12/12,0)</f>
        <v/>
      </c>
      <c r="V46" s="159" t="n">
        <v>0</v>
      </c>
      <c r="W46" s="152">
        <f>MAX(0,T46+U46-V46)</f>
        <v/>
      </c>
      <c r="X46" s="152">
        <f>AA45</f>
        <v/>
      </c>
      <c r="Y46" s="159">
        <f>IF(X46&gt;0.005,X46*Debts!D13/12,0)</f>
        <v/>
      </c>
      <c r="Z46" s="159" t="n">
        <v>0</v>
      </c>
      <c r="AA46" s="152">
        <f>MAX(0,X46+Y46-Z46)</f>
        <v/>
      </c>
      <c r="AB46" s="152">
        <f>AE45</f>
        <v/>
      </c>
      <c r="AC46" s="159">
        <f>IF(AB46&gt;0.005,AB46*Debts!D14/12,0)</f>
        <v/>
      </c>
      <c r="AD46" s="159" t="n">
        <v>0</v>
      </c>
      <c r="AE46" s="152">
        <f>MAX(0,AB46+AC46-AD46)</f>
        <v/>
      </c>
      <c r="AF46" s="152">
        <f>AI45</f>
        <v/>
      </c>
      <c r="AG46" s="159">
        <f>IF(AF46&gt;0.005,AF46*Debts!D15/12,0)</f>
        <v/>
      </c>
      <c r="AH46" s="159" t="n">
        <v>0</v>
      </c>
      <c r="AI46" s="152">
        <f>MAX(0,AF46+AG46-AH46)</f>
        <v/>
      </c>
      <c r="AJ46" s="152">
        <f>AM45</f>
        <v/>
      </c>
      <c r="AK46" s="159">
        <f>IF(AJ46&gt;0.005,AJ46*Debts!D16/12,0)</f>
        <v/>
      </c>
      <c r="AL46" s="159" t="n">
        <v>0</v>
      </c>
      <c r="AM46" s="152">
        <f>MAX(0,AJ46+AK46-AL46)</f>
        <v/>
      </c>
      <c r="AN46" s="152">
        <f>AQ45</f>
        <v/>
      </c>
      <c r="AO46" s="159">
        <f>IF(AN46&gt;0.005,AN46*Debts!D17/12,0)</f>
        <v/>
      </c>
      <c r="AP46" s="159" t="n">
        <v>0</v>
      </c>
      <c r="AQ46" s="152">
        <f>MAX(0,AN46+AO46-AP46)</f>
        <v/>
      </c>
      <c r="AR46" s="152">
        <f>AU45</f>
        <v/>
      </c>
      <c r="AS46" s="159">
        <f>IF(AR46&gt;0.005,AR46*Debts!D18/12,0)</f>
        <v/>
      </c>
      <c r="AT46" s="159" t="n">
        <v>0</v>
      </c>
      <c r="AU46" s="152">
        <f>MAX(0,AR46+AS46-AT46)</f>
        <v/>
      </c>
      <c r="AV46" s="152">
        <f>AY45</f>
        <v/>
      </c>
      <c r="AW46" s="159">
        <f>IF(AV46&gt;0.005,AV46*Debts!D19/12,0)</f>
        <v/>
      </c>
      <c r="AX46" s="159" t="n">
        <v>0</v>
      </c>
      <c r="AY46" s="152">
        <f>MAX(0,AV46+AW46-AX46)</f>
        <v/>
      </c>
      <c r="AZ46" s="152">
        <f>BC45</f>
        <v/>
      </c>
      <c r="BA46" s="159">
        <f>IF(AZ46&gt;0.005,AZ46*Debts!D20/12,0)</f>
        <v/>
      </c>
      <c r="BB46" s="159" t="n">
        <v>0</v>
      </c>
      <c r="BC46" s="152">
        <f>MAX(0,AZ46+BA46-BB46)</f>
        <v/>
      </c>
      <c r="BD46" s="152">
        <f>BG45</f>
        <v/>
      </c>
      <c r="BE46" s="159">
        <f>IF(BD46&gt;0.005,BD46*Debts!D21/12,0)</f>
        <v/>
      </c>
      <c r="BF46" s="159" t="n">
        <v>0</v>
      </c>
      <c r="BG46" s="152">
        <f>MAX(0,BD46+BE46-BF46)</f>
        <v/>
      </c>
      <c r="BH46" s="152">
        <f>BK45</f>
        <v/>
      </c>
      <c r="BI46" s="159">
        <f>IF(BH46&gt;0.005,BH46*Debts!D22/12,0)</f>
        <v/>
      </c>
      <c r="BJ46" s="159" t="n">
        <v>0</v>
      </c>
      <c r="BK46" s="152">
        <f>MAX(0,BH46+BI46-BJ46)</f>
        <v/>
      </c>
      <c r="BL46" s="152">
        <f>BO45</f>
        <v/>
      </c>
      <c r="BM46" s="159">
        <f>IF(BL46&gt;0.005,BL46*Debts!D23/12,0)</f>
        <v/>
      </c>
      <c r="BN46" s="159" t="n">
        <v>0</v>
      </c>
      <c r="BO46" s="152">
        <f>MAX(0,BL46+BM46-BN46)</f>
        <v/>
      </c>
      <c r="BP46" s="152">
        <f>BS45</f>
        <v/>
      </c>
      <c r="BQ46" s="159">
        <f>IF(BP46&gt;0.005,BP46*Debts!D24/12,0)</f>
        <v/>
      </c>
      <c r="BR46" s="159" t="n">
        <v>0</v>
      </c>
      <c r="BS46" s="152">
        <f>MAX(0,BP46+BQ46-BR46)</f>
        <v/>
      </c>
      <c r="BT46" s="152">
        <f>BW45</f>
        <v/>
      </c>
      <c r="BU46" s="159">
        <f>IF(BT46&gt;0.005,BT46*Debts!D25/12,0)</f>
        <v/>
      </c>
      <c r="BV46" s="159" t="n">
        <v>0</v>
      </c>
      <c r="BW46" s="152">
        <f>MAX(0,BT46+BU46-BV46)</f>
        <v/>
      </c>
      <c r="BX46" s="152">
        <f>CA45</f>
        <v/>
      </c>
      <c r="BY46" s="159">
        <f>IF(BX46&gt;0.005,BX46*Debts!D26/12,0)</f>
        <v/>
      </c>
      <c r="BZ46" s="159" t="n">
        <v>0</v>
      </c>
      <c r="CA46" s="152">
        <f>MAX(0,BX46+BY46-BZ46)</f>
        <v/>
      </c>
      <c r="CB46" s="152">
        <f>CE45</f>
        <v/>
      </c>
      <c r="CC46" s="159">
        <f>IF(CB46&gt;0.005,CB46*Debts!D27/12,0)</f>
        <v/>
      </c>
      <c r="CD46" s="159" t="n">
        <v>0</v>
      </c>
      <c r="CE46" s="152">
        <f>MAX(0,CB46+CC46-CD46)</f>
        <v/>
      </c>
      <c r="CF46" s="152">
        <f>G46+K46+O46+S46+W46+AA46+AE46+AI46+AM46+AQ46+AU46+AY46+BC46+BG46+BK46+BO46+BS46+BW46+CA46+CE46</f>
        <v/>
      </c>
      <c r="CG46" s="159">
        <f>E46+I46+M46+Q46+U46+Y46+AC46+AG46+AK46+AO46+AS46+AW46+BA46+BE46+BI46+BM46+BQ46+BU46+BY46+CC46</f>
        <v/>
      </c>
      <c r="CH46" s="152">
        <f>CH45+CG46</f>
        <v/>
      </c>
      <c r="CI46" s="148" t="n"/>
      <c r="CJ46" s="148" t="n"/>
    </row>
    <row r="47" ht="15" customHeight="1" s="83">
      <c r="A47" s="148" t="n"/>
      <c r="B47" s="158" t="n">
        <v>43</v>
      </c>
      <c r="C47" s="152">
        <f>F47+J47+N47+R47+V47+Z47+AD47+AH47+AL47+AP47+AT47+AX47+BB47+BF47+BJ47+BN47+BR47+BV47+BZ47+CD47</f>
        <v/>
      </c>
      <c r="D47" s="152">
        <f>G46</f>
        <v/>
      </c>
      <c r="E47" s="159">
        <f>IF(D47&gt;0.005,D47*Debts!D8/12,0)</f>
        <v/>
      </c>
      <c r="F47" s="159" t="n">
        <v>0</v>
      </c>
      <c r="G47" s="152">
        <f>MAX(0,D47+E47-F47)</f>
        <v/>
      </c>
      <c r="H47" s="152">
        <f>K46</f>
        <v/>
      </c>
      <c r="I47" s="159">
        <f>IF(H47&gt;0.005,H47*Debts!D9/12,0)</f>
        <v/>
      </c>
      <c r="J47" s="159" t="n">
        <v>0</v>
      </c>
      <c r="K47" s="152">
        <f>MAX(0,H47+I47-J47)</f>
        <v/>
      </c>
      <c r="L47" s="152">
        <f>O46</f>
        <v/>
      </c>
      <c r="M47" s="159">
        <f>IF(L47&gt;0.005,L47*Debts!D10/12,0)</f>
        <v/>
      </c>
      <c r="N47" s="159" t="n">
        <v>0</v>
      </c>
      <c r="O47" s="152">
        <f>MAX(0,L47+M47-N47)</f>
        <v/>
      </c>
      <c r="P47" s="152">
        <f>S46</f>
        <v/>
      </c>
      <c r="Q47" s="159">
        <f>IF(P47&gt;0.005,P47*Debts!D11/12,0)</f>
        <v/>
      </c>
      <c r="R47" s="159" t="n">
        <v>0</v>
      </c>
      <c r="S47" s="152">
        <f>MAX(0,P47+Q47-R47)</f>
        <v/>
      </c>
      <c r="T47" s="152">
        <f>W46</f>
        <v/>
      </c>
      <c r="U47" s="159">
        <f>IF(T47&gt;0.005,T47*Debts!D12/12,0)</f>
        <v/>
      </c>
      <c r="V47" s="159" t="n">
        <v>0</v>
      </c>
      <c r="W47" s="152">
        <f>MAX(0,T47+U47-V47)</f>
        <v/>
      </c>
      <c r="X47" s="152">
        <f>AA46</f>
        <v/>
      </c>
      <c r="Y47" s="159">
        <f>IF(X47&gt;0.005,X47*Debts!D13/12,0)</f>
        <v/>
      </c>
      <c r="Z47" s="159" t="n">
        <v>0</v>
      </c>
      <c r="AA47" s="152">
        <f>MAX(0,X47+Y47-Z47)</f>
        <v/>
      </c>
      <c r="AB47" s="152">
        <f>AE46</f>
        <v/>
      </c>
      <c r="AC47" s="159">
        <f>IF(AB47&gt;0.005,AB47*Debts!D14/12,0)</f>
        <v/>
      </c>
      <c r="AD47" s="159" t="n">
        <v>0</v>
      </c>
      <c r="AE47" s="152">
        <f>MAX(0,AB47+AC47-AD47)</f>
        <v/>
      </c>
      <c r="AF47" s="152">
        <f>AI46</f>
        <v/>
      </c>
      <c r="AG47" s="159">
        <f>IF(AF47&gt;0.005,AF47*Debts!D15/12,0)</f>
        <v/>
      </c>
      <c r="AH47" s="159" t="n">
        <v>0</v>
      </c>
      <c r="AI47" s="152">
        <f>MAX(0,AF47+AG47-AH47)</f>
        <v/>
      </c>
      <c r="AJ47" s="152">
        <f>AM46</f>
        <v/>
      </c>
      <c r="AK47" s="159">
        <f>IF(AJ47&gt;0.005,AJ47*Debts!D16/12,0)</f>
        <v/>
      </c>
      <c r="AL47" s="159" t="n">
        <v>0</v>
      </c>
      <c r="AM47" s="152">
        <f>MAX(0,AJ47+AK47-AL47)</f>
        <v/>
      </c>
      <c r="AN47" s="152">
        <f>AQ46</f>
        <v/>
      </c>
      <c r="AO47" s="159">
        <f>IF(AN47&gt;0.005,AN47*Debts!D17/12,0)</f>
        <v/>
      </c>
      <c r="AP47" s="159" t="n">
        <v>0</v>
      </c>
      <c r="AQ47" s="152">
        <f>MAX(0,AN47+AO47-AP47)</f>
        <v/>
      </c>
      <c r="AR47" s="152">
        <f>AU46</f>
        <v/>
      </c>
      <c r="AS47" s="159">
        <f>IF(AR47&gt;0.005,AR47*Debts!D18/12,0)</f>
        <v/>
      </c>
      <c r="AT47" s="159" t="n">
        <v>0</v>
      </c>
      <c r="AU47" s="152">
        <f>MAX(0,AR47+AS47-AT47)</f>
        <v/>
      </c>
      <c r="AV47" s="152">
        <f>AY46</f>
        <v/>
      </c>
      <c r="AW47" s="159">
        <f>IF(AV47&gt;0.005,AV47*Debts!D19/12,0)</f>
        <v/>
      </c>
      <c r="AX47" s="159" t="n">
        <v>0</v>
      </c>
      <c r="AY47" s="152">
        <f>MAX(0,AV47+AW47-AX47)</f>
        <v/>
      </c>
      <c r="AZ47" s="152">
        <f>BC46</f>
        <v/>
      </c>
      <c r="BA47" s="159">
        <f>IF(AZ47&gt;0.005,AZ47*Debts!D20/12,0)</f>
        <v/>
      </c>
      <c r="BB47" s="159" t="n">
        <v>0</v>
      </c>
      <c r="BC47" s="152">
        <f>MAX(0,AZ47+BA47-BB47)</f>
        <v/>
      </c>
      <c r="BD47" s="152">
        <f>BG46</f>
        <v/>
      </c>
      <c r="BE47" s="159">
        <f>IF(BD47&gt;0.005,BD47*Debts!D21/12,0)</f>
        <v/>
      </c>
      <c r="BF47" s="159" t="n">
        <v>0</v>
      </c>
      <c r="BG47" s="152">
        <f>MAX(0,BD47+BE47-BF47)</f>
        <v/>
      </c>
      <c r="BH47" s="152">
        <f>BK46</f>
        <v/>
      </c>
      <c r="BI47" s="159">
        <f>IF(BH47&gt;0.005,BH47*Debts!D22/12,0)</f>
        <v/>
      </c>
      <c r="BJ47" s="159" t="n">
        <v>0</v>
      </c>
      <c r="BK47" s="152">
        <f>MAX(0,BH47+BI47-BJ47)</f>
        <v/>
      </c>
      <c r="BL47" s="152">
        <f>BO46</f>
        <v/>
      </c>
      <c r="BM47" s="159">
        <f>IF(BL47&gt;0.005,BL47*Debts!D23/12,0)</f>
        <v/>
      </c>
      <c r="BN47" s="159" t="n">
        <v>0</v>
      </c>
      <c r="BO47" s="152">
        <f>MAX(0,BL47+BM47-BN47)</f>
        <v/>
      </c>
      <c r="BP47" s="152">
        <f>BS46</f>
        <v/>
      </c>
      <c r="BQ47" s="159">
        <f>IF(BP47&gt;0.005,BP47*Debts!D24/12,0)</f>
        <v/>
      </c>
      <c r="BR47" s="159" t="n">
        <v>0</v>
      </c>
      <c r="BS47" s="152">
        <f>MAX(0,BP47+BQ47-BR47)</f>
        <v/>
      </c>
      <c r="BT47" s="152">
        <f>BW46</f>
        <v/>
      </c>
      <c r="BU47" s="159">
        <f>IF(BT47&gt;0.005,BT47*Debts!D25/12,0)</f>
        <v/>
      </c>
      <c r="BV47" s="159" t="n">
        <v>0</v>
      </c>
      <c r="BW47" s="152">
        <f>MAX(0,BT47+BU47-BV47)</f>
        <v/>
      </c>
      <c r="BX47" s="152">
        <f>CA46</f>
        <v/>
      </c>
      <c r="BY47" s="159">
        <f>IF(BX47&gt;0.005,BX47*Debts!D26/12,0)</f>
        <v/>
      </c>
      <c r="BZ47" s="159" t="n">
        <v>0</v>
      </c>
      <c r="CA47" s="152">
        <f>MAX(0,BX47+BY47-BZ47)</f>
        <v/>
      </c>
      <c r="CB47" s="152">
        <f>CE46</f>
        <v/>
      </c>
      <c r="CC47" s="159">
        <f>IF(CB47&gt;0.005,CB47*Debts!D27/12,0)</f>
        <v/>
      </c>
      <c r="CD47" s="159" t="n">
        <v>0</v>
      </c>
      <c r="CE47" s="152">
        <f>MAX(0,CB47+CC47-CD47)</f>
        <v/>
      </c>
      <c r="CF47" s="152">
        <f>G47+K47+O47+S47+W47+AA47+AE47+AI47+AM47+AQ47+AU47+AY47+BC47+BG47+BK47+BO47+BS47+BW47+CA47+CE47</f>
        <v/>
      </c>
      <c r="CG47" s="159">
        <f>E47+I47+M47+Q47+U47+Y47+AC47+AG47+AK47+AO47+AS47+AW47+BA47+BE47+BI47+BM47+BQ47+BU47+BY47+CC47</f>
        <v/>
      </c>
      <c r="CH47" s="152">
        <f>CH46+CG47</f>
        <v/>
      </c>
      <c r="CI47" s="148" t="n"/>
      <c r="CJ47" s="148" t="n"/>
    </row>
    <row r="48" ht="15" customHeight="1" s="83">
      <c r="A48" s="148" t="n"/>
      <c r="B48" s="158" t="n">
        <v>44</v>
      </c>
      <c r="C48" s="152">
        <f>F48+J48+N48+R48+V48+Z48+AD48+AH48+AL48+AP48+AT48+AX48+BB48+BF48+BJ48+BN48+BR48+BV48+BZ48+CD48</f>
        <v/>
      </c>
      <c r="D48" s="152">
        <f>G47</f>
        <v/>
      </c>
      <c r="E48" s="159">
        <f>IF(D48&gt;0.005,D48*Debts!D8/12,0)</f>
        <v/>
      </c>
      <c r="F48" s="159" t="n">
        <v>0</v>
      </c>
      <c r="G48" s="152">
        <f>MAX(0,D48+E48-F48)</f>
        <v/>
      </c>
      <c r="H48" s="152">
        <f>K47</f>
        <v/>
      </c>
      <c r="I48" s="159">
        <f>IF(H48&gt;0.005,H48*Debts!D9/12,0)</f>
        <v/>
      </c>
      <c r="J48" s="159" t="n">
        <v>0</v>
      </c>
      <c r="K48" s="152">
        <f>MAX(0,H48+I48-J48)</f>
        <v/>
      </c>
      <c r="L48" s="152">
        <f>O47</f>
        <v/>
      </c>
      <c r="M48" s="159">
        <f>IF(L48&gt;0.005,L48*Debts!D10/12,0)</f>
        <v/>
      </c>
      <c r="N48" s="159" t="n">
        <v>0</v>
      </c>
      <c r="O48" s="152">
        <f>MAX(0,L48+M48-N48)</f>
        <v/>
      </c>
      <c r="P48" s="152">
        <f>S47</f>
        <v/>
      </c>
      <c r="Q48" s="159">
        <f>IF(P48&gt;0.005,P48*Debts!D11/12,0)</f>
        <v/>
      </c>
      <c r="R48" s="159" t="n">
        <v>0</v>
      </c>
      <c r="S48" s="152">
        <f>MAX(0,P48+Q48-R48)</f>
        <v/>
      </c>
      <c r="T48" s="152">
        <f>W47</f>
        <v/>
      </c>
      <c r="U48" s="159">
        <f>IF(T48&gt;0.005,T48*Debts!D12/12,0)</f>
        <v/>
      </c>
      <c r="V48" s="159" t="n">
        <v>0</v>
      </c>
      <c r="W48" s="152">
        <f>MAX(0,T48+U48-V48)</f>
        <v/>
      </c>
      <c r="X48" s="152">
        <f>AA47</f>
        <v/>
      </c>
      <c r="Y48" s="159">
        <f>IF(X48&gt;0.005,X48*Debts!D13/12,0)</f>
        <v/>
      </c>
      <c r="Z48" s="159" t="n">
        <v>0</v>
      </c>
      <c r="AA48" s="152">
        <f>MAX(0,X48+Y48-Z48)</f>
        <v/>
      </c>
      <c r="AB48" s="152">
        <f>AE47</f>
        <v/>
      </c>
      <c r="AC48" s="159">
        <f>IF(AB48&gt;0.005,AB48*Debts!D14/12,0)</f>
        <v/>
      </c>
      <c r="AD48" s="159" t="n">
        <v>0</v>
      </c>
      <c r="AE48" s="152">
        <f>MAX(0,AB48+AC48-AD48)</f>
        <v/>
      </c>
      <c r="AF48" s="152">
        <f>AI47</f>
        <v/>
      </c>
      <c r="AG48" s="159">
        <f>IF(AF48&gt;0.005,AF48*Debts!D15/12,0)</f>
        <v/>
      </c>
      <c r="AH48" s="159" t="n">
        <v>0</v>
      </c>
      <c r="AI48" s="152">
        <f>MAX(0,AF48+AG48-AH48)</f>
        <v/>
      </c>
      <c r="AJ48" s="152">
        <f>AM47</f>
        <v/>
      </c>
      <c r="AK48" s="159">
        <f>IF(AJ48&gt;0.005,AJ48*Debts!D16/12,0)</f>
        <v/>
      </c>
      <c r="AL48" s="159" t="n">
        <v>0</v>
      </c>
      <c r="AM48" s="152">
        <f>MAX(0,AJ48+AK48-AL48)</f>
        <v/>
      </c>
      <c r="AN48" s="152">
        <f>AQ47</f>
        <v/>
      </c>
      <c r="AO48" s="159">
        <f>IF(AN48&gt;0.005,AN48*Debts!D17/12,0)</f>
        <v/>
      </c>
      <c r="AP48" s="159" t="n">
        <v>0</v>
      </c>
      <c r="AQ48" s="152">
        <f>MAX(0,AN48+AO48-AP48)</f>
        <v/>
      </c>
      <c r="AR48" s="152">
        <f>AU47</f>
        <v/>
      </c>
      <c r="AS48" s="159">
        <f>IF(AR48&gt;0.005,AR48*Debts!D18/12,0)</f>
        <v/>
      </c>
      <c r="AT48" s="159" t="n">
        <v>0</v>
      </c>
      <c r="AU48" s="152">
        <f>MAX(0,AR48+AS48-AT48)</f>
        <v/>
      </c>
      <c r="AV48" s="152">
        <f>AY47</f>
        <v/>
      </c>
      <c r="AW48" s="159">
        <f>IF(AV48&gt;0.005,AV48*Debts!D19/12,0)</f>
        <v/>
      </c>
      <c r="AX48" s="159" t="n">
        <v>0</v>
      </c>
      <c r="AY48" s="152">
        <f>MAX(0,AV48+AW48-AX48)</f>
        <v/>
      </c>
      <c r="AZ48" s="152">
        <f>BC47</f>
        <v/>
      </c>
      <c r="BA48" s="159">
        <f>IF(AZ48&gt;0.005,AZ48*Debts!D20/12,0)</f>
        <v/>
      </c>
      <c r="BB48" s="159" t="n">
        <v>0</v>
      </c>
      <c r="BC48" s="152">
        <f>MAX(0,AZ48+BA48-BB48)</f>
        <v/>
      </c>
      <c r="BD48" s="152">
        <f>BG47</f>
        <v/>
      </c>
      <c r="BE48" s="159">
        <f>IF(BD48&gt;0.005,BD48*Debts!D21/12,0)</f>
        <v/>
      </c>
      <c r="BF48" s="159" t="n">
        <v>0</v>
      </c>
      <c r="BG48" s="152">
        <f>MAX(0,BD48+BE48-BF48)</f>
        <v/>
      </c>
      <c r="BH48" s="152">
        <f>BK47</f>
        <v/>
      </c>
      <c r="BI48" s="159">
        <f>IF(BH48&gt;0.005,BH48*Debts!D22/12,0)</f>
        <v/>
      </c>
      <c r="BJ48" s="159" t="n">
        <v>0</v>
      </c>
      <c r="BK48" s="152">
        <f>MAX(0,BH48+BI48-BJ48)</f>
        <v/>
      </c>
      <c r="BL48" s="152">
        <f>BO47</f>
        <v/>
      </c>
      <c r="BM48" s="159">
        <f>IF(BL48&gt;0.005,BL48*Debts!D23/12,0)</f>
        <v/>
      </c>
      <c r="BN48" s="159" t="n">
        <v>0</v>
      </c>
      <c r="BO48" s="152">
        <f>MAX(0,BL48+BM48-BN48)</f>
        <v/>
      </c>
      <c r="BP48" s="152">
        <f>BS47</f>
        <v/>
      </c>
      <c r="BQ48" s="159">
        <f>IF(BP48&gt;0.005,BP48*Debts!D24/12,0)</f>
        <v/>
      </c>
      <c r="BR48" s="159" t="n">
        <v>0</v>
      </c>
      <c r="BS48" s="152">
        <f>MAX(0,BP48+BQ48-BR48)</f>
        <v/>
      </c>
      <c r="BT48" s="152">
        <f>BW47</f>
        <v/>
      </c>
      <c r="BU48" s="159">
        <f>IF(BT48&gt;0.005,BT48*Debts!D25/12,0)</f>
        <v/>
      </c>
      <c r="BV48" s="159" t="n">
        <v>0</v>
      </c>
      <c r="BW48" s="152">
        <f>MAX(0,BT48+BU48-BV48)</f>
        <v/>
      </c>
      <c r="BX48" s="152">
        <f>CA47</f>
        <v/>
      </c>
      <c r="BY48" s="159">
        <f>IF(BX48&gt;0.005,BX48*Debts!D26/12,0)</f>
        <v/>
      </c>
      <c r="BZ48" s="159" t="n">
        <v>0</v>
      </c>
      <c r="CA48" s="152">
        <f>MAX(0,BX48+BY48-BZ48)</f>
        <v/>
      </c>
      <c r="CB48" s="152">
        <f>CE47</f>
        <v/>
      </c>
      <c r="CC48" s="159">
        <f>IF(CB48&gt;0.005,CB48*Debts!D27/12,0)</f>
        <v/>
      </c>
      <c r="CD48" s="159" t="n">
        <v>0</v>
      </c>
      <c r="CE48" s="152">
        <f>MAX(0,CB48+CC48-CD48)</f>
        <v/>
      </c>
      <c r="CF48" s="152">
        <f>G48+K48+O48+S48+W48+AA48+AE48+AI48+AM48+AQ48+AU48+AY48+BC48+BG48+BK48+BO48+BS48+BW48+CA48+CE48</f>
        <v/>
      </c>
      <c r="CG48" s="159">
        <f>E48+I48+M48+Q48+U48+Y48+AC48+AG48+AK48+AO48+AS48+AW48+BA48+BE48+BI48+BM48+BQ48+BU48+BY48+CC48</f>
        <v/>
      </c>
      <c r="CH48" s="152">
        <f>CH47+CG48</f>
        <v/>
      </c>
      <c r="CI48" s="148" t="n"/>
      <c r="CJ48" s="148" t="n"/>
    </row>
    <row r="49" ht="15" customHeight="1" s="83">
      <c r="A49" s="148" t="n"/>
      <c r="B49" s="158" t="n">
        <v>45</v>
      </c>
      <c r="C49" s="152">
        <f>F49+J49+N49+R49+V49+Z49+AD49+AH49+AL49+AP49+AT49+AX49+BB49+BF49+BJ49+BN49+BR49+BV49+BZ49+CD49</f>
        <v/>
      </c>
      <c r="D49" s="152">
        <f>G48</f>
        <v/>
      </c>
      <c r="E49" s="159">
        <f>IF(D49&gt;0.005,D49*Debts!D8/12,0)</f>
        <v/>
      </c>
      <c r="F49" s="159" t="n">
        <v>0</v>
      </c>
      <c r="G49" s="152">
        <f>MAX(0,D49+E49-F49)</f>
        <v/>
      </c>
      <c r="H49" s="152">
        <f>K48</f>
        <v/>
      </c>
      <c r="I49" s="159">
        <f>IF(H49&gt;0.005,H49*Debts!D9/12,0)</f>
        <v/>
      </c>
      <c r="J49" s="159" t="n">
        <v>0</v>
      </c>
      <c r="K49" s="152">
        <f>MAX(0,H49+I49-J49)</f>
        <v/>
      </c>
      <c r="L49" s="152">
        <f>O48</f>
        <v/>
      </c>
      <c r="M49" s="159">
        <f>IF(L49&gt;0.005,L49*Debts!D10/12,0)</f>
        <v/>
      </c>
      <c r="N49" s="159" t="n">
        <v>0</v>
      </c>
      <c r="O49" s="152">
        <f>MAX(0,L49+M49-N49)</f>
        <v/>
      </c>
      <c r="P49" s="152">
        <f>S48</f>
        <v/>
      </c>
      <c r="Q49" s="159">
        <f>IF(P49&gt;0.005,P49*Debts!D11/12,0)</f>
        <v/>
      </c>
      <c r="R49" s="159" t="n">
        <v>0</v>
      </c>
      <c r="S49" s="152">
        <f>MAX(0,P49+Q49-R49)</f>
        <v/>
      </c>
      <c r="T49" s="152">
        <f>W48</f>
        <v/>
      </c>
      <c r="U49" s="159">
        <f>IF(T49&gt;0.005,T49*Debts!D12/12,0)</f>
        <v/>
      </c>
      <c r="V49" s="159" t="n">
        <v>0</v>
      </c>
      <c r="W49" s="152">
        <f>MAX(0,T49+U49-V49)</f>
        <v/>
      </c>
      <c r="X49" s="152">
        <f>AA48</f>
        <v/>
      </c>
      <c r="Y49" s="159">
        <f>IF(X49&gt;0.005,X49*Debts!D13/12,0)</f>
        <v/>
      </c>
      <c r="Z49" s="159" t="n">
        <v>0</v>
      </c>
      <c r="AA49" s="152">
        <f>MAX(0,X49+Y49-Z49)</f>
        <v/>
      </c>
      <c r="AB49" s="152">
        <f>AE48</f>
        <v/>
      </c>
      <c r="AC49" s="159">
        <f>IF(AB49&gt;0.005,AB49*Debts!D14/12,0)</f>
        <v/>
      </c>
      <c r="AD49" s="159" t="n">
        <v>0</v>
      </c>
      <c r="AE49" s="152">
        <f>MAX(0,AB49+AC49-AD49)</f>
        <v/>
      </c>
      <c r="AF49" s="152">
        <f>AI48</f>
        <v/>
      </c>
      <c r="AG49" s="159">
        <f>IF(AF49&gt;0.005,AF49*Debts!D15/12,0)</f>
        <v/>
      </c>
      <c r="AH49" s="159" t="n">
        <v>0</v>
      </c>
      <c r="AI49" s="152">
        <f>MAX(0,AF49+AG49-AH49)</f>
        <v/>
      </c>
      <c r="AJ49" s="152">
        <f>AM48</f>
        <v/>
      </c>
      <c r="AK49" s="159">
        <f>IF(AJ49&gt;0.005,AJ49*Debts!D16/12,0)</f>
        <v/>
      </c>
      <c r="AL49" s="159" t="n">
        <v>0</v>
      </c>
      <c r="AM49" s="152">
        <f>MAX(0,AJ49+AK49-AL49)</f>
        <v/>
      </c>
      <c r="AN49" s="152">
        <f>AQ48</f>
        <v/>
      </c>
      <c r="AO49" s="159">
        <f>IF(AN49&gt;0.005,AN49*Debts!D17/12,0)</f>
        <v/>
      </c>
      <c r="AP49" s="159" t="n">
        <v>0</v>
      </c>
      <c r="AQ49" s="152">
        <f>MAX(0,AN49+AO49-AP49)</f>
        <v/>
      </c>
      <c r="AR49" s="152">
        <f>AU48</f>
        <v/>
      </c>
      <c r="AS49" s="159">
        <f>IF(AR49&gt;0.005,AR49*Debts!D18/12,0)</f>
        <v/>
      </c>
      <c r="AT49" s="159" t="n">
        <v>0</v>
      </c>
      <c r="AU49" s="152">
        <f>MAX(0,AR49+AS49-AT49)</f>
        <v/>
      </c>
      <c r="AV49" s="152">
        <f>AY48</f>
        <v/>
      </c>
      <c r="AW49" s="159">
        <f>IF(AV49&gt;0.005,AV49*Debts!D19/12,0)</f>
        <v/>
      </c>
      <c r="AX49" s="159" t="n">
        <v>0</v>
      </c>
      <c r="AY49" s="152">
        <f>MAX(0,AV49+AW49-AX49)</f>
        <v/>
      </c>
      <c r="AZ49" s="152">
        <f>BC48</f>
        <v/>
      </c>
      <c r="BA49" s="159">
        <f>IF(AZ49&gt;0.005,AZ49*Debts!D20/12,0)</f>
        <v/>
      </c>
      <c r="BB49" s="159" t="n">
        <v>0</v>
      </c>
      <c r="BC49" s="152">
        <f>MAX(0,AZ49+BA49-BB49)</f>
        <v/>
      </c>
      <c r="BD49" s="152">
        <f>BG48</f>
        <v/>
      </c>
      <c r="BE49" s="159">
        <f>IF(BD49&gt;0.005,BD49*Debts!D21/12,0)</f>
        <v/>
      </c>
      <c r="BF49" s="159" t="n">
        <v>0</v>
      </c>
      <c r="BG49" s="152">
        <f>MAX(0,BD49+BE49-BF49)</f>
        <v/>
      </c>
      <c r="BH49" s="152">
        <f>BK48</f>
        <v/>
      </c>
      <c r="BI49" s="159">
        <f>IF(BH49&gt;0.005,BH49*Debts!D22/12,0)</f>
        <v/>
      </c>
      <c r="BJ49" s="159" t="n">
        <v>0</v>
      </c>
      <c r="BK49" s="152">
        <f>MAX(0,BH49+BI49-BJ49)</f>
        <v/>
      </c>
      <c r="BL49" s="152">
        <f>BO48</f>
        <v/>
      </c>
      <c r="BM49" s="159">
        <f>IF(BL49&gt;0.005,BL49*Debts!D23/12,0)</f>
        <v/>
      </c>
      <c r="BN49" s="159" t="n">
        <v>0</v>
      </c>
      <c r="BO49" s="152">
        <f>MAX(0,BL49+BM49-BN49)</f>
        <v/>
      </c>
      <c r="BP49" s="152">
        <f>BS48</f>
        <v/>
      </c>
      <c r="BQ49" s="159">
        <f>IF(BP49&gt;0.005,BP49*Debts!D24/12,0)</f>
        <v/>
      </c>
      <c r="BR49" s="159" t="n">
        <v>0</v>
      </c>
      <c r="BS49" s="152">
        <f>MAX(0,BP49+BQ49-BR49)</f>
        <v/>
      </c>
      <c r="BT49" s="152">
        <f>BW48</f>
        <v/>
      </c>
      <c r="BU49" s="159">
        <f>IF(BT49&gt;0.005,BT49*Debts!D25/12,0)</f>
        <v/>
      </c>
      <c r="BV49" s="159" t="n">
        <v>0</v>
      </c>
      <c r="BW49" s="152">
        <f>MAX(0,BT49+BU49-BV49)</f>
        <v/>
      </c>
      <c r="BX49" s="152">
        <f>CA48</f>
        <v/>
      </c>
      <c r="BY49" s="159">
        <f>IF(BX49&gt;0.005,BX49*Debts!D26/12,0)</f>
        <v/>
      </c>
      <c r="BZ49" s="159" t="n">
        <v>0</v>
      </c>
      <c r="CA49" s="152">
        <f>MAX(0,BX49+BY49-BZ49)</f>
        <v/>
      </c>
      <c r="CB49" s="152">
        <f>CE48</f>
        <v/>
      </c>
      <c r="CC49" s="159">
        <f>IF(CB49&gt;0.005,CB49*Debts!D27/12,0)</f>
        <v/>
      </c>
      <c r="CD49" s="159" t="n">
        <v>0</v>
      </c>
      <c r="CE49" s="152">
        <f>MAX(0,CB49+CC49-CD49)</f>
        <v/>
      </c>
      <c r="CF49" s="152">
        <f>G49+K49+O49+S49+W49+AA49+AE49+AI49+AM49+AQ49+AU49+AY49+BC49+BG49+BK49+BO49+BS49+BW49+CA49+CE49</f>
        <v/>
      </c>
      <c r="CG49" s="159">
        <f>E49+I49+M49+Q49+U49+Y49+AC49+AG49+AK49+AO49+AS49+AW49+BA49+BE49+BI49+BM49+BQ49+BU49+BY49+CC49</f>
        <v/>
      </c>
      <c r="CH49" s="152">
        <f>CH48+CG49</f>
        <v/>
      </c>
      <c r="CI49" s="148" t="n"/>
      <c r="CJ49" s="148" t="n"/>
    </row>
    <row r="50" ht="15" customHeight="1" s="83">
      <c r="A50" s="148" t="n"/>
      <c r="B50" s="158" t="n">
        <v>46</v>
      </c>
      <c r="C50" s="152">
        <f>F50+J50+N50+R50+V50+Z50+AD50+AH50+AL50+AP50+AT50+AX50+BB50+BF50+BJ50+BN50+BR50+BV50+BZ50+CD50</f>
        <v/>
      </c>
      <c r="D50" s="152">
        <f>G49</f>
        <v/>
      </c>
      <c r="E50" s="159">
        <f>IF(D50&gt;0.005,D50*Debts!D8/12,0)</f>
        <v/>
      </c>
      <c r="F50" s="159" t="n">
        <v>0</v>
      </c>
      <c r="G50" s="152">
        <f>MAX(0,D50+E50-F50)</f>
        <v/>
      </c>
      <c r="H50" s="152">
        <f>K49</f>
        <v/>
      </c>
      <c r="I50" s="159">
        <f>IF(H50&gt;0.005,H50*Debts!D9/12,0)</f>
        <v/>
      </c>
      <c r="J50" s="159" t="n">
        <v>0</v>
      </c>
      <c r="K50" s="152">
        <f>MAX(0,H50+I50-J50)</f>
        <v/>
      </c>
      <c r="L50" s="152">
        <f>O49</f>
        <v/>
      </c>
      <c r="M50" s="159">
        <f>IF(L50&gt;0.005,L50*Debts!D10/12,0)</f>
        <v/>
      </c>
      <c r="N50" s="159" t="n">
        <v>0</v>
      </c>
      <c r="O50" s="152">
        <f>MAX(0,L50+M50-N50)</f>
        <v/>
      </c>
      <c r="P50" s="152">
        <f>S49</f>
        <v/>
      </c>
      <c r="Q50" s="159">
        <f>IF(P50&gt;0.005,P50*Debts!D11/12,0)</f>
        <v/>
      </c>
      <c r="R50" s="159" t="n">
        <v>0</v>
      </c>
      <c r="S50" s="152">
        <f>MAX(0,P50+Q50-R50)</f>
        <v/>
      </c>
      <c r="T50" s="152">
        <f>W49</f>
        <v/>
      </c>
      <c r="U50" s="159">
        <f>IF(T50&gt;0.005,T50*Debts!D12/12,0)</f>
        <v/>
      </c>
      <c r="V50" s="159" t="n">
        <v>0</v>
      </c>
      <c r="W50" s="152">
        <f>MAX(0,T50+U50-V50)</f>
        <v/>
      </c>
      <c r="X50" s="152">
        <f>AA49</f>
        <v/>
      </c>
      <c r="Y50" s="159">
        <f>IF(X50&gt;0.005,X50*Debts!D13/12,0)</f>
        <v/>
      </c>
      <c r="Z50" s="159" t="n">
        <v>0</v>
      </c>
      <c r="AA50" s="152">
        <f>MAX(0,X50+Y50-Z50)</f>
        <v/>
      </c>
      <c r="AB50" s="152">
        <f>AE49</f>
        <v/>
      </c>
      <c r="AC50" s="159">
        <f>IF(AB50&gt;0.005,AB50*Debts!D14/12,0)</f>
        <v/>
      </c>
      <c r="AD50" s="159" t="n">
        <v>0</v>
      </c>
      <c r="AE50" s="152">
        <f>MAX(0,AB50+AC50-AD50)</f>
        <v/>
      </c>
      <c r="AF50" s="152">
        <f>AI49</f>
        <v/>
      </c>
      <c r="AG50" s="159">
        <f>IF(AF50&gt;0.005,AF50*Debts!D15/12,0)</f>
        <v/>
      </c>
      <c r="AH50" s="159" t="n">
        <v>0</v>
      </c>
      <c r="AI50" s="152">
        <f>MAX(0,AF50+AG50-AH50)</f>
        <v/>
      </c>
      <c r="AJ50" s="152">
        <f>AM49</f>
        <v/>
      </c>
      <c r="AK50" s="159">
        <f>IF(AJ50&gt;0.005,AJ50*Debts!D16/12,0)</f>
        <v/>
      </c>
      <c r="AL50" s="159" t="n">
        <v>0</v>
      </c>
      <c r="AM50" s="152">
        <f>MAX(0,AJ50+AK50-AL50)</f>
        <v/>
      </c>
      <c r="AN50" s="152">
        <f>AQ49</f>
        <v/>
      </c>
      <c r="AO50" s="159">
        <f>IF(AN50&gt;0.005,AN50*Debts!D17/12,0)</f>
        <v/>
      </c>
      <c r="AP50" s="159" t="n">
        <v>0</v>
      </c>
      <c r="AQ50" s="152">
        <f>MAX(0,AN50+AO50-AP50)</f>
        <v/>
      </c>
      <c r="AR50" s="152">
        <f>AU49</f>
        <v/>
      </c>
      <c r="AS50" s="159">
        <f>IF(AR50&gt;0.005,AR50*Debts!D18/12,0)</f>
        <v/>
      </c>
      <c r="AT50" s="159" t="n">
        <v>0</v>
      </c>
      <c r="AU50" s="152">
        <f>MAX(0,AR50+AS50-AT50)</f>
        <v/>
      </c>
      <c r="AV50" s="152">
        <f>AY49</f>
        <v/>
      </c>
      <c r="AW50" s="159">
        <f>IF(AV50&gt;0.005,AV50*Debts!D19/12,0)</f>
        <v/>
      </c>
      <c r="AX50" s="159" t="n">
        <v>0</v>
      </c>
      <c r="AY50" s="152">
        <f>MAX(0,AV50+AW50-AX50)</f>
        <v/>
      </c>
      <c r="AZ50" s="152">
        <f>BC49</f>
        <v/>
      </c>
      <c r="BA50" s="159">
        <f>IF(AZ50&gt;0.005,AZ50*Debts!D20/12,0)</f>
        <v/>
      </c>
      <c r="BB50" s="159" t="n">
        <v>0</v>
      </c>
      <c r="BC50" s="152">
        <f>MAX(0,AZ50+BA50-BB50)</f>
        <v/>
      </c>
      <c r="BD50" s="152">
        <f>BG49</f>
        <v/>
      </c>
      <c r="BE50" s="159">
        <f>IF(BD50&gt;0.005,BD50*Debts!D21/12,0)</f>
        <v/>
      </c>
      <c r="BF50" s="159" t="n">
        <v>0</v>
      </c>
      <c r="BG50" s="152">
        <f>MAX(0,BD50+BE50-BF50)</f>
        <v/>
      </c>
      <c r="BH50" s="152">
        <f>BK49</f>
        <v/>
      </c>
      <c r="BI50" s="159">
        <f>IF(BH50&gt;0.005,BH50*Debts!D22/12,0)</f>
        <v/>
      </c>
      <c r="BJ50" s="159" t="n">
        <v>0</v>
      </c>
      <c r="BK50" s="152">
        <f>MAX(0,BH50+BI50-BJ50)</f>
        <v/>
      </c>
      <c r="BL50" s="152">
        <f>BO49</f>
        <v/>
      </c>
      <c r="BM50" s="159">
        <f>IF(BL50&gt;0.005,BL50*Debts!D23/12,0)</f>
        <v/>
      </c>
      <c r="BN50" s="159" t="n">
        <v>0</v>
      </c>
      <c r="BO50" s="152">
        <f>MAX(0,BL50+BM50-BN50)</f>
        <v/>
      </c>
      <c r="BP50" s="152">
        <f>BS49</f>
        <v/>
      </c>
      <c r="BQ50" s="159">
        <f>IF(BP50&gt;0.005,BP50*Debts!D24/12,0)</f>
        <v/>
      </c>
      <c r="BR50" s="159" t="n">
        <v>0</v>
      </c>
      <c r="BS50" s="152">
        <f>MAX(0,BP50+BQ50-BR50)</f>
        <v/>
      </c>
      <c r="BT50" s="152">
        <f>BW49</f>
        <v/>
      </c>
      <c r="BU50" s="159">
        <f>IF(BT50&gt;0.005,BT50*Debts!D25/12,0)</f>
        <v/>
      </c>
      <c r="BV50" s="159" t="n">
        <v>0</v>
      </c>
      <c r="BW50" s="152">
        <f>MAX(0,BT50+BU50-BV50)</f>
        <v/>
      </c>
      <c r="BX50" s="152">
        <f>CA49</f>
        <v/>
      </c>
      <c r="BY50" s="159">
        <f>IF(BX50&gt;0.005,BX50*Debts!D26/12,0)</f>
        <v/>
      </c>
      <c r="BZ50" s="159" t="n">
        <v>0</v>
      </c>
      <c r="CA50" s="152">
        <f>MAX(0,BX50+BY50-BZ50)</f>
        <v/>
      </c>
      <c r="CB50" s="152">
        <f>CE49</f>
        <v/>
      </c>
      <c r="CC50" s="159">
        <f>IF(CB50&gt;0.005,CB50*Debts!D27/12,0)</f>
        <v/>
      </c>
      <c r="CD50" s="159" t="n">
        <v>0</v>
      </c>
      <c r="CE50" s="152">
        <f>MAX(0,CB50+CC50-CD50)</f>
        <v/>
      </c>
      <c r="CF50" s="152">
        <f>G50+K50+O50+S50+W50+AA50+AE50+AI50+AM50+AQ50+AU50+AY50+BC50+BG50+BK50+BO50+BS50+BW50+CA50+CE50</f>
        <v/>
      </c>
      <c r="CG50" s="159">
        <f>E50+I50+M50+Q50+U50+Y50+AC50+AG50+AK50+AO50+AS50+AW50+BA50+BE50+BI50+BM50+BQ50+BU50+BY50+CC50</f>
        <v/>
      </c>
      <c r="CH50" s="152">
        <f>CH49+CG50</f>
        <v/>
      </c>
      <c r="CI50" s="148" t="n"/>
      <c r="CJ50" s="148" t="n"/>
    </row>
    <row r="51" ht="15" customHeight="1" s="83">
      <c r="A51" s="148" t="n"/>
      <c r="B51" s="158" t="n">
        <v>47</v>
      </c>
      <c r="C51" s="152">
        <f>F51+J51+N51+R51+V51+Z51+AD51+AH51+AL51+AP51+AT51+AX51+BB51+BF51+BJ51+BN51+BR51+BV51+BZ51+CD51</f>
        <v/>
      </c>
      <c r="D51" s="152">
        <f>G50</f>
        <v/>
      </c>
      <c r="E51" s="159">
        <f>IF(D51&gt;0.005,D51*Debts!D8/12,0)</f>
        <v/>
      </c>
      <c r="F51" s="159" t="n">
        <v>0</v>
      </c>
      <c r="G51" s="152">
        <f>MAX(0,D51+E51-F51)</f>
        <v/>
      </c>
      <c r="H51" s="152">
        <f>K50</f>
        <v/>
      </c>
      <c r="I51" s="159">
        <f>IF(H51&gt;0.005,H51*Debts!D9/12,0)</f>
        <v/>
      </c>
      <c r="J51" s="159" t="n">
        <v>0</v>
      </c>
      <c r="K51" s="152">
        <f>MAX(0,H51+I51-J51)</f>
        <v/>
      </c>
      <c r="L51" s="152">
        <f>O50</f>
        <v/>
      </c>
      <c r="M51" s="159">
        <f>IF(L51&gt;0.005,L51*Debts!D10/12,0)</f>
        <v/>
      </c>
      <c r="N51" s="159" t="n">
        <v>0</v>
      </c>
      <c r="O51" s="152">
        <f>MAX(0,L51+M51-N51)</f>
        <v/>
      </c>
      <c r="P51" s="152">
        <f>S50</f>
        <v/>
      </c>
      <c r="Q51" s="159">
        <f>IF(P51&gt;0.005,P51*Debts!D11/12,0)</f>
        <v/>
      </c>
      <c r="R51" s="159" t="n">
        <v>0</v>
      </c>
      <c r="S51" s="152">
        <f>MAX(0,P51+Q51-R51)</f>
        <v/>
      </c>
      <c r="T51" s="152">
        <f>W50</f>
        <v/>
      </c>
      <c r="U51" s="159">
        <f>IF(T51&gt;0.005,T51*Debts!D12/12,0)</f>
        <v/>
      </c>
      <c r="V51" s="159" t="n">
        <v>0</v>
      </c>
      <c r="W51" s="152">
        <f>MAX(0,T51+U51-V51)</f>
        <v/>
      </c>
      <c r="X51" s="152">
        <f>AA50</f>
        <v/>
      </c>
      <c r="Y51" s="159">
        <f>IF(X51&gt;0.005,X51*Debts!D13/12,0)</f>
        <v/>
      </c>
      <c r="Z51" s="159" t="n">
        <v>0</v>
      </c>
      <c r="AA51" s="152">
        <f>MAX(0,X51+Y51-Z51)</f>
        <v/>
      </c>
      <c r="AB51" s="152">
        <f>AE50</f>
        <v/>
      </c>
      <c r="AC51" s="159">
        <f>IF(AB51&gt;0.005,AB51*Debts!D14/12,0)</f>
        <v/>
      </c>
      <c r="AD51" s="159" t="n">
        <v>0</v>
      </c>
      <c r="AE51" s="152">
        <f>MAX(0,AB51+AC51-AD51)</f>
        <v/>
      </c>
      <c r="AF51" s="152">
        <f>AI50</f>
        <v/>
      </c>
      <c r="AG51" s="159">
        <f>IF(AF51&gt;0.005,AF51*Debts!D15/12,0)</f>
        <v/>
      </c>
      <c r="AH51" s="159" t="n">
        <v>0</v>
      </c>
      <c r="AI51" s="152">
        <f>MAX(0,AF51+AG51-AH51)</f>
        <v/>
      </c>
      <c r="AJ51" s="152">
        <f>AM50</f>
        <v/>
      </c>
      <c r="AK51" s="159">
        <f>IF(AJ51&gt;0.005,AJ51*Debts!D16/12,0)</f>
        <v/>
      </c>
      <c r="AL51" s="159" t="n">
        <v>0</v>
      </c>
      <c r="AM51" s="152">
        <f>MAX(0,AJ51+AK51-AL51)</f>
        <v/>
      </c>
      <c r="AN51" s="152">
        <f>AQ50</f>
        <v/>
      </c>
      <c r="AO51" s="159">
        <f>IF(AN51&gt;0.005,AN51*Debts!D17/12,0)</f>
        <v/>
      </c>
      <c r="AP51" s="159" t="n">
        <v>0</v>
      </c>
      <c r="AQ51" s="152">
        <f>MAX(0,AN51+AO51-AP51)</f>
        <v/>
      </c>
      <c r="AR51" s="152">
        <f>AU50</f>
        <v/>
      </c>
      <c r="AS51" s="159">
        <f>IF(AR51&gt;0.005,AR51*Debts!D18/12,0)</f>
        <v/>
      </c>
      <c r="AT51" s="159" t="n">
        <v>0</v>
      </c>
      <c r="AU51" s="152">
        <f>MAX(0,AR51+AS51-AT51)</f>
        <v/>
      </c>
      <c r="AV51" s="152">
        <f>AY50</f>
        <v/>
      </c>
      <c r="AW51" s="159">
        <f>IF(AV51&gt;0.005,AV51*Debts!D19/12,0)</f>
        <v/>
      </c>
      <c r="AX51" s="159" t="n">
        <v>0</v>
      </c>
      <c r="AY51" s="152">
        <f>MAX(0,AV51+AW51-AX51)</f>
        <v/>
      </c>
      <c r="AZ51" s="152">
        <f>BC50</f>
        <v/>
      </c>
      <c r="BA51" s="159">
        <f>IF(AZ51&gt;0.005,AZ51*Debts!D20/12,0)</f>
        <v/>
      </c>
      <c r="BB51" s="159" t="n">
        <v>0</v>
      </c>
      <c r="BC51" s="152">
        <f>MAX(0,AZ51+BA51-BB51)</f>
        <v/>
      </c>
      <c r="BD51" s="152">
        <f>BG50</f>
        <v/>
      </c>
      <c r="BE51" s="159">
        <f>IF(BD51&gt;0.005,BD51*Debts!D21/12,0)</f>
        <v/>
      </c>
      <c r="BF51" s="159" t="n">
        <v>0</v>
      </c>
      <c r="BG51" s="152">
        <f>MAX(0,BD51+BE51-BF51)</f>
        <v/>
      </c>
      <c r="BH51" s="152">
        <f>BK50</f>
        <v/>
      </c>
      <c r="BI51" s="159">
        <f>IF(BH51&gt;0.005,BH51*Debts!D22/12,0)</f>
        <v/>
      </c>
      <c r="BJ51" s="159" t="n">
        <v>0</v>
      </c>
      <c r="BK51" s="152">
        <f>MAX(0,BH51+BI51-BJ51)</f>
        <v/>
      </c>
      <c r="BL51" s="152">
        <f>BO50</f>
        <v/>
      </c>
      <c r="BM51" s="159">
        <f>IF(BL51&gt;0.005,BL51*Debts!D23/12,0)</f>
        <v/>
      </c>
      <c r="BN51" s="159" t="n">
        <v>0</v>
      </c>
      <c r="BO51" s="152">
        <f>MAX(0,BL51+BM51-BN51)</f>
        <v/>
      </c>
      <c r="BP51" s="152">
        <f>BS50</f>
        <v/>
      </c>
      <c r="BQ51" s="159">
        <f>IF(BP51&gt;0.005,BP51*Debts!D24/12,0)</f>
        <v/>
      </c>
      <c r="BR51" s="159" t="n">
        <v>0</v>
      </c>
      <c r="BS51" s="152">
        <f>MAX(0,BP51+BQ51-BR51)</f>
        <v/>
      </c>
      <c r="BT51" s="152">
        <f>BW50</f>
        <v/>
      </c>
      <c r="BU51" s="159">
        <f>IF(BT51&gt;0.005,BT51*Debts!D25/12,0)</f>
        <v/>
      </c>
      <c r="BV51" s="159" t="n">
        <v>0</v>
      </c>
      <c r="BW51" s="152">
        <f>MAX(0,BT51+BU51-BV51)</f>
        <v/>
      </c>
      <c r="BX51" s="152">
        <f>CA50</f>
        <v/>
      </c>
      <c r="BY51" s="159">
        <f>IF(BX51&gt;0.005,BX51*Debts!D26/12,0)</f>
        <v/>
      </c>
      <c r="BZ51" s="159" t="n">
        <v>0</v>
      </c>
      <c r="CA51" s="152">
        <f>MAX(0,BX51+BY51-BZ51)</f>
        <v/>
      </c>
      <c r="CB51" s="152">
        <f>CE50</f>
        <v/>
      </c>
      <c r="CC51" s="159">
        <f>IF(CB51&gt;0.005,CB51*Debts!D27/12,0)</f>
        <v/>
      </c>
      <c r="CD51" s="159" t="n">
        <v>0</v>
      </c>
      <c r="CE51" s="152">
        <f>MAX(0,CB51+CC51-CD51)</f>
        <v/>
      </c>
      <c r="CF51" s="152">
        <f>G51+K51+O51+S51+W51+AA51+AE51+AI51+AM51+AQ51+AU51+AY51+BC51+BG51+BK51+BO51+BS51+BW51+CA51+CE51</f>
        <v/>
      </c>
      <c r="CG51" s="159">
        <f>E51+I51+M51+Q51+U51+Y51+AC51+AG51+AK51+AO51+AS51+AW51+BA51+BE51+BI51+BM51+BQ51+BU51+BY51+CC51</f>
        <v/>
      </c>
      <c r="CH51" s="152">
        <f>CH50+CG51</f>
        <v/>
      </c>
      <c r="CI51" s="148" t="n"/>
      <c r="CJ51" s="148" t="n"/>
    </row>
    <row r="52" ht="15" customHeight="1" s="83">
      <c r="A52" s="148" t="n"/>
      <c r="B52" s="158" t="n">
        <v>48</v>
      </c>
      <c r="C52" s="152">
        <f>F52+J52+N52+R52+V52+Z52+AD52+AH52+AL52+AP52+AT52+AX52+BB52+BF52+BJ52+BN52+BR52+BV52+BZ52+CD52</f>
        <v/>
      </c>
      <c r="D52" s="152">
        <f>G51</f>
        <v/>
      </c>
      <c r="E52" s="159">
        <f>IF(D52&gt;0.005,D52*Debts!D8/12,0)</f>
        <v/>
      </c>
      <c r="F52" s="159" t="n">
        <v>0</v>
      </c>
      <c r="G52" s="152">
        <f>MAX(0,D52+E52-F52)</f>
        <v/>
      </c>
      <c r="H52" s="152">
        <f>K51</f>
        <v/>
      </c>
      <c r="I52" s="159">
        <f>IF(H52&gt;0.005,H52*Debts!D9/12,0)</f>
        <v/>
      </c>
      <c r="J52" s="159" t="n">
        <v>0</v>
      </c>
      <c r="K52" s="152">
        <f>MAX(0,H52+I52-J52)</f>
        <v/>
      </c>
      <c r="L52" s="152">
        <f>O51</f>
        <v/>
      </c>
      <c r="M52" s="159">
        <f>IF(L52&gt;0.005,L52*Debts!D10/12,0)</f>
        <v/>
      </c>
      <c r="N52" s="159" t="n">
        <v>0</v>
      </c>
      <c r="O52" s="152">
        <f>MAX(0,L52+M52-N52)</f>
        <v/>
      </c>
      <c r="P52" s="152">
        <f>S51</f>
        <v/>
      </c>
      <c r="Q52" s="159">
        <f>IF(P52&gt;0.005,P52*Debts!D11/12,0)</f>
        <v/>
      </c>
      <c r="R52" s="159" t="n">
        <v>0</v>
      </c>
      <c r="S52" s="152">
        <f>MAX(0,P52+Q52-R52)</f>
        <v/>
      </c>
      <c r="T52" s="152">
        <f>W51</f>
        <v/>
      </c>
      <c r="U52" s="159">
        <f>IF(T52&gt;0.005,T52*Debts!D12/12,0)</f>
        <v/>
      </c>
      <c r="V52" s="159" t="n">
        <v>0</v>
      </c>
      <c r="W52" s="152">
        <f>MAX(0,T52+U52-V52)</f>
        <v/>
      </c>
      <c r="X52" s="152">
        <f>AA51</f>
        <v/>
      </c>
      <c r="Y52" s="159">
        <f>IF(X52&gt;0.005,X52*Debts!D13/12,0)</f>
        <v/>
      </c>
      <c r="Z52" s="159" t="n">
        <v>0</v>
      </c>
      <c r="AA52" s="152">
        <f>MAX(0,X52+Y52-Z52)</f>
        <v/>
      </c>
      <c r="AB52" s="152">
        <f>AE51</f>
        <v/>
      </c>
      <c r="AC52" s="159">
        <f>IF(AB52&gt;0.005,AB52*Debts!D14/12,0)</f>
        <v/>
      </c>
      <c r="AD52" s="159" t="n">
        <v>0</v>
      </c>
      <c r="AE52" s="152">
        <f>MAX(0,AB52+AC52-AD52)</f>
        <v/>
      </c>
      <c r="AF52" s="152">
        <f>AI51</f>
        <v/>
      </c>
      <c r="AG52" s="159">
        <f>IF(AF52&gt;0.005,AF52*Debts!D15/12,0)</f>
        <v/>
      </c>
      <c r="AH52" s="159" t="n">
        <v>0</v>
      </c>
      <c r="AI52" s="152">
        <f>MAX(0,AF52+AG52-AH52)</f>
        <v/>
      </c>
      <c r="AJ52" s="152">
        <f>AM51</f>
        <v/>
      </c>
      <c r="AK52" s="159">
        <f>IF(AJ52&gt;0.005,AJ52*Debts!D16/12,0)</f>
        <v/>
      </c>
      <c r="AL52" s="159" t="n">
        <v>0</v>
      </c>
      <c r="AM52" s="152">
        <f>MAX(0,AJ52+AK52-AL52)</f>
        <v/>
      </c>
      <c r="AN52" s="152">
        <f>AQ51</f>
        <v/>
      </c>
      <c r="AO52" s="159">
        <f>IF(AN52&gt;0.005,AN52*Debts!D17/12,0)</f>
        <v/>
      </c>
      <c r="AP52" s="159" t="n">
        <v>0</v>
      </c>
      <c r="AQ52" s="152">
        <f>MAX(0,AN52+AO52-AP52)</f>
        <v/>
      </c>
      <c r="AR52" s="152">
        <f>AU51</f>
        <v/>
      </c>
      <c r="AS52" s="159">
        <f>IF(AR52&gt;0.005,AR52*Debts!D18/12,0)</f>
        <v/>
      </c>
      <c r="AT52" s="159" t="n">
        <v>0</v>
      </c>
      <c r="AU52" s="152">
        <f>MAX(0,AR52+AS52-AT52)</f>
        <v/>
      </c>
      <c r="AV52" s="152">
        <f>AY51</f>
        <v/>
      </c>
      <c r="AW52" s="159">
        <f>IF(AV52&gt;0.005,AV52*Debts!D19/12,0)</f>
        <v/>
      </c>
      <c r="AX52" s="159" t="n">
        <v>0</v>
      </c>
      <c r="AY52" s="152">
        <f>MAX(0,AV52+AW52-AX52)</f>
        <v/>
      </c>
      <c r="AZ52" s="152">
        <f>BC51</f>
        <v/>
      </c>
      <c r="BA52" s="159">
        <f>IF(AZ52&gt;0.005,AZ52*Debts!D20/12,0)</f>
        <v/>
      </c>
      <c r="BB52" s="159" t="n">
        <v>0</v>
      </c>
      <c r="BC52" s="152">
        <f>MAX(0,AZ52+BA52-BB52)</f>
        <v/>
      </c>
      <c r="BD52" s="152">
        <f>BG51</f>
        <v/>
      </c>
      <c r="BE52" s="159">
        <f>IF(BD52&gt;0.005,BD52*Debts!D21/12,0)</f>
        <v/>
      </c>
      <c r="BF52" s="159" t="n">
        <v>0</v>
      </c>
      <c r="BG52" s="152">
        <f>MAX(0,BD52+BE52-BF52)</f>
        <v/>
      </c>
      <c r="BH52" s="152">
        <f>BK51</f>
        <v/>
      </c>
      <c r="BI52" s="159">
        <f>IF(BH52&gt;0.005,BH52*Debts!D22/12,0)</f>
        <v/>
      </c>
      <c r="BJ52" s="159" t="n">
        <v>0</v>
      </c>
      <c r="BK52" s="152">
        <f>MAX(0,BH52+BI52-BJ52)</f>
        <v/>
      </c>
      <c r="BL52" s="152">
        <f>BO51</f>
        <v/>
      </c>
      <c r="BM52" s="159">
        <f>IF(BL52&gt;0.005,BL52*Debts!D23/12,0)</f>
        <v/>
      </c>
      <c r="BN52" s="159" t="n">
        <v>0</v>
      </c>
      <c r="BO52" s="152">
        <f>MAX(0,BL52+BM52-BN52)</f>
        <v/>
      </c>
      <c r="BP52" s="152">
        <f>BS51</f>
        <v/>
      </c>
      <c r="BQ52" s="159">
        <f>IF(BP52&gt;0.005,BP52*Debts!D24/12,0)</f>
        <v/>
      </c>
      <c r="BR52" s="159" t="n">
        <v>0</v>
      </c>
      <c r="BS52" s="152">
        <f>MAX(0,BP52+BQ52-BR52)</f>
        <v/>
      </c>
      <c r="BT52" s="152">
        <f>BW51</f>
        <v/>
      </c>
      <c r="BU52" s="159">
        <f>IF(BT52&gt;0.005,BT52*Debts!D25/12,0)</f>
        <v/>
      </c>
      <c r="BV52" s="159" t="n">
        <v>0</v>
      </c>
      <c r="BW52" s="152">
        <f>MAX(0,BT52+BU52-BV52)</f>
        <v/>
      </c>
      <c r="BX52" s="152">
        <f>CA51</f>
        <v/>
      </c>
      <c r="BY52" s="159">
        <f>IF(BX52&gt;0.005,BX52*Debts!D26/12,0)</f>
        <v/>
      </c>
      <c r="BZ52" s="159" t="n">
        <v>0</v>
      </c>
      <c r="CA52" s="152">
        <f>MAX(0,BX52+BY52-BZ52)</f>
        <v/>
      </c>
      <c r="CB52" s="152">
        <f>CE51</f>
        <v/>
      </c>
      <c r="CC52" s="159">
        <f>IF(CB52&gt;0.005,CB52*Debts!D27/12,0)</f>
        <v/>
      </c>
      <c r="CD52" s="159" t="n">
        <v>0</v>
      </c>
      <c r="CE52" s="152">
        <f>MAX(0,CB52+CC52-CD52)</f>
        <v/>
      </c>
      <c r="CF52" s="152">
        <f>G52+K52+O52+S52+W52+AA52+AE52+AI52+AM52+AQ52+AU52+AY52+BC52+BG52+BK52+BO52+BS52+BW52+CA52+CE52</f>
        <v/>
      </c>
      <c r="CG52" s="159">
        <f>E52+I52+M52+Q52+U52+Y52+AC52+AG52+AK52+AO52+AS52+AW52+BA52+BE52+BI52+BM52+BQ52+BU52+BY52+CC52</f>
        <v/>
      </c>
      <c r="CH52" s="152">
        <f>CH51+CG52</f>
        <v/>
      </c>
      <c r="CI52" s="148" t="n"/>
      <c r="CJ52" s="148" t="n"/>
    </row>
    <row r="53" ht="15" customHeight="1" s="83">
      <c r="A53" s="148" t="n"/>
      <c r="B53" s="158" t="n">
        <v>49</v>
      </c>
      <c r="C53" s="152">
        <f>F53+J53+N53+R53+V53+Z53+AD53+AH53+AL53+AP53+AT53+AX53+BB53+BF53+BJ53+BN53+BR53+BV53+BZ53+CD53</f>
        <v/>
      </c>
      <c r="D53" s="152">
        <f>G52</f>
        <v/>
      </c>
      <c r="E53" s="159">
        <f>IF(D53&gt;0.005,D53*Debts!D8/12,0)</f>
        <v/>
      </c>
      <c r="F53" s="159" t="n">
        <v>0</v>
      </c>
      <c r="G53" s="152">
        <f>MAX(0,D53+E53-F53)</f>
        <v/>
      </c>
      <c r="H53" s="152">
        <f>K52</f>
        <v/>
      </c>
      <c r="I53" s="159">
        <f>IF(H53&gt;0.005,H53*Debts!D9/12,0)</f>
        <v/>
      </c>
      <c r="J53" s="159" t="n">
        <v>0</v>
      </c>
      <c r="K53" s="152">
        <f>MAX(0,H53+I53-J53)</f>
        <v/>
      </c>
      <c r="L53" s="152">
        <f>O52</f>
        <v/>
      </c>
      <c r="M53" s="159">
        <f>IF(L53&gt;0.005,L53*Debts!D10/12,0)</f>
        <v/>
      </c>
      <c r="N53" s="159" t="n">
        <v>0</v>
      </c>
      <c r="O53" s="152">
        <f>MAX(0,L53+M53-N53)</f>
        <v/>
      </c>
      <c r="P53" s="152">
        <f>S52</f>
        <v/>
      </c>
      <c r="Q53" s="159">
        <f>IF(P53&gt;0.005,P53*Debts!D11/12,0)</f>
        <v/>
      </c>
      <c r="R53" s="159" t="n">
        <v>0</v>
      </c>
      <c r="S53" s="152">
        <f>MAX(0,P53+Q53-R53)</f>
        <v/>
      </c>
      <c r="T53" s="152">
        <f>W52</f>
        <v/>
      </c>
      <c r="U53" s="159">
        <f>IF(T53&gt;0.005,T53*Debts!D12/12,0)</f>
        <v/>
      </c>
      <c r="V53" s="159" t="n">
        <v>0</v>
      </c>
      <c r="W53" s="152">
        <f>MAX(0,T53+U53-V53)</f>
        <v/>
      </c>
      <c r="X53" s="152">
        <f>AA52</f>
        <v/>
      </c>
      <c r="Y53" s="159">
        <f>IF(X53&gt;0.005,X53*Debts!D13/12,0)</f>
        <v/>
      </c>
      <c r="Z53" s="159" t="n">
        <v>0</v>
      </c>
      <c r="AA53" s="152">
        <f>MAX(0,X53+Y53-Z53)</f>
        <v/>
      </c>
      <c r="AB53" s="152">
        <f>AE52</f>
        <v/>
      </c>
      <c r="AC53" s="159">
        <f>IF(AB53&gt;0.005,AB53*Debts!D14/12,0)</f>
        <v/>
      </c>
      <c r="AD53" s="159" t="n">
        <v>0</v>
      </c>
      <c r="AE53" s="152">
        <f>MAX(0,AB53+AC53-AD53)</f>
        <v/>
      </c>
      <c r="AF53" s="152">
        <f>AI52</f>
        <v/>
      </c>
      <c r="AG53" s="159">
        <f>IF(AF53&gt;0.005,AF53*Debts!D15/12,0)</f>
        <v/>
      </c>
      <c r="AH53" s="159" t="n">
        <v>0</v>
      </c>
      <c r="AI53" s="152">
        <f>MAX(0,AF53+AG53-AH53)</f>
        <v/>
      </c>
      <c r="AJ53" s="152">
        <f>AM52</f>
        <v/>
      </c>
      <c r="AK53" s="159">
        <f>IF(AJ53&gt;0.005,AJ53*Debts!D16/12,0)</f>
        <v/>
      </c>
      <c r="AL53" s="159" t="n">
        <v>0</v>
      </c>
      <c r="AM53" s="152">
        <f>MAX(0,AJ53+AK53-AL53)</f>
        <v/>
      </c>
      <c r="AN53" s="152">
        <f>AQ52</f>
        <v/>
      </c>
      <c r="AO53" s="159">
        <f>IF(AN53&gt;0.005,AN53*Debts!D17/12,0)</f>
        <v/>
      </c>
      <c r="AP53" s="159" t="n">
        <v>0</v>
      </c>
      <c r="AQ53" s="152">
        <f>MAX(0,AN53+AO53-AP53)</f>
        <v/>
      </c>
      <c r="AR53" s="152">
        <f>AU52</f>
        <v/>
      </c>
      <c r="AS53" s="159">
        <f>IF(AR53&gt;0.005,AR53*Debts!D18/12,0)</f>
        <v/>
      </c>
      <c r="AT53" s="159" t="n">
        <v>0</v>
      </c>
      <c r="AU53" s="152">
        <f>MAX(0,AR53+AS53-AT53)</f>
        <v/>
      </c>
      <c r="AV53" s="152">
        <f>AY52</f>
        <v/>
      </c>
      <c r="AW53" s="159">
        <f>IF(AV53&gt;0.005,AV53*Debts!D19/12,0)</f>
        <v/>
      </c>
      <c r="AX53" s="159" t="n">
        <v>0</v>
      </c>
      <c r="AY53" s="152">
        <f>MAX(0,AV53+AW53-AX53)</f>
        <v/>
      </c>
      <c r="AZ53" s="152">
        <f>BC52</f>
        <v/>
      </c>
      <c r="BA53" s="159">
        <f>IF(AZ53&gt;0.005,AZ53*Debts!D20/12,0)</f>
        <v/>
      </c>
      <c r="BB53" s="159" t="n">
        <v>0</v>
      </c>
      <c r="BC53" s="152">
        <f>MAX(0,AZ53+BA53-BB53)</f>
        <v/>
      </c>
      <c r="BD53" s="152">
        <f>BG52</f>
        <v/>
      </c>
      <c r="BE53" s="159">
        <f>IF(BD53&gt;0.005,BD53*Debts!D21/12,0)</f>
        <v/>
      </c>
      <c r="BF53" s="159" t="n">
        <v>0</v>
      </c>
      <c r="BG53" s="152">
        <f>MAX(0,BD53+BE53-BF53)</f>
        <v/>
      </c>
      <c r="BH53" s="152">
        <f>BK52</f>
        <v/>
      </c>
      <c r="BI53" s="159">
        <f>IF(BH53&gt;0.005,BH53*Debts!D22/12,0)</f>
        <v/>
      </c>
      <c r="BJ53" s="159" t="n">
        <v>0</v>
      </c>
      <c r="BK53" s="152">
        <f>MAX(0,BH53+BI53-BJ53)</f>
        <v/>
      </c>
      <c r="BL53" s="152">
        <f>BO52</f>
        <v/>
      </c>
      <c r="BM53" s="159">
        <f>IF(BL53&gt;0.005,BL53*Debts!D23/12,0)</f>
        <v/>
      </c>
      <c r="BN53" s="159" t="n">
        <v>0</v>
      </c>
      <c r="BO53" s="152">
        <f>MAX(0,BL53+BM53-BN53)</f>
        <v/>
      </c>
      <c r="BP53" s="152">
        <f>BS52</f>
        <v/>
      </c>
      <c r="BQ53" s="159">
        <f>IF(BP53&gt;0.005,BP53*Debts!D24/12,0)</f>
        <v/>
      </c>
      <c r="BR53" s="159" t="n">
        <v>0</v>
      </c>
      <c r="BS53" s="152">
        <f>MAX(0,BP53+BQ53-BR53)</f>
        <v/>
      </c>
      <c r="BT53" s="152">
        <f>BW52</f>
        <v/>
      </c>
      <c r="BU53" s="159">
        <f>IF(BT53&gt;0.005,BT53*Debts!D25/12,0)</f>
        <v/>
      </c>
      <c r="BV53" s="159" t="n">
        <v>0</v>
      </c>
      <c r="BW53" s="152">
        <f>MAX(0,BT53+BU53-BV53)</f>
        <v/>
      </c>
      <c r="BX53" s="152">
        <f>CA52</f>
        <v/>
      </c>
      <c r="BY53" s="159">
        <f>IF(BX53&gt;0.005,BX53*Debts!D26/12,0)</f>
        <v/>
      </c>
      <c r="BZ53" s="159" t="n">
        <v>0</v>
      </c>
      <c r="CA53" s="152">
        <f>MAX(0,BX53+BY53-BZ53)</f>
        <v/>
      </c>
      <c r="CB53" s="152">
        <f>CE52</f>
        <v/>
      </c>
      <c r="CC53" s="159">
        <f>IF(CB53&gt;0.005,CB53*Debts!D27/12,0)</f>
        <v/>
      </c>
      <c r="CD53" s="159" t="n">
        <v>0</v>
      </c>
      <c r="CE53" s="152">
        <f>MAX(0,CB53+CC53-CD53)</f>
        <v/>
      </c>
      <c r="CF53" s="152">
        <f>G53+K53+O53+S53+W53+AA53+AE53+AI53+AM53+AQ53+AU53+AY53+BC53+BG53+BK53+BO53+BS53+BW53+CA53+CE53</f>
        <v/>
      </c>
      <c r="CG53" s="159">
        <f>E53+I53+M53+Q53+U53+Y53+AC53+AG53+AK53+AO53+AS53+AW53+BA53+BE53+BI53+BM53+BQ53+BU53+BY53+CC53</f>
        <v/>
      </c>
      <c r="CH53" s="152">
        <f>CH52+CG53</f>
        <v/>
      </c>
      <c r="CI53" s="148" t="n"/>
      <c r="CJ53" s="148" t="n"/>
    </row>
    <row r="54" ht="15" customHeight="1" s="83">
      <c r="A54" s="148" t="n"/>
      <c r="B54" s="158" t="n">
        <v>50</v>
      </c>
      <c r="C54" s="152">
        <f>F54+J54+N54+R54+V54+Z54+AD54+AH54+AL54+AP54+AT54+AX54+BB54+BF54+BJ54+BN54+BR54+BV54+BZ54+CD54</f>
        <v/>
      </c>
      <c r="D54" s="152">
        <f>G53</f>
        <v/>
      </c>
      <c r="E54" s="159">
        <f>IF(D54&gt;0.005,D54*Debts!D8/12,0)</f>
        <v/>
      </c>
      <c r="F54" s="159" t="n">
        <v>0</v>
      </c>
      <c r="G54" s="152">
        <f>MAX(0,D54+E54-F54)</f>
        <v/>
      </c>
      <c r="H54" s="152">
        <f>K53</f>
        <v/>
      </c>
      <c r="I54" s="159">
        <f>IF(H54&gt;0.005,H54*Debts!D9/12,0)</f>
        <v/>
      </c>
      <c r="J54" s="159" t="n">
        <v>0</v>
      </c>
      <c r="K54" s="152">
        <f>MAX(0,H54+I54-J54)</f>
        <v/>
      </c>
      <c r="L54" s="152">
        <f>O53</f>
        <v/>
      </c>
      <c r="M54" s="159">
        <f>IF(L54&gt;0.005,L54*Debts!D10/12,0)</f>
        <v/>
      </c>
      <c r="N54" s="159" t="n">
        <v>0</v>
      </c>
      <c r="O54" s="152">
        <f>MAX(0,L54+M54-N54)</f>
        <v/>
      </c>
      <c r="P54" s="152">
        <f>S53</f>
        <v/>
      </c>
      <c r="Q54" s="159">
        <f>IF(P54&gt;0.005,P54*Debts!D11/12,0)</f>
        <v/>
      </c>
      <c r="R54" s="159" t="n">
        <v>0</v>
      </c>
      <c r="S54" s="152">
        <f>MAX(0,P54+Q54-R54)</f>
        <v/>
      </c>
      <c r="T54" s="152">
        <f>W53</f>
        <v/>
      </c>
      <c r="U54" s="159">
        <f>IF(T54&gt;0.005,T54*Debts!D12/12,0)</f>
        <v/>
      </c>
      <c r="V54" s="159" t="n">
        <v>0</v>
      </c>
      <c r="W54" s="152">
        <f>MAX(0,T54+U54-V54)</f>
        <v/>
      </c>
      <c r="X54" s="152">
        <f>AA53</f>
        <v/>
      </c>
      <c r="Y54" s="159">
        <f>IF(X54&gt;0.005,X54*Debts!D13/12,0)</f>
        <v/>
      </c>
      <c r="Z54" s="159" t="n">
        <v>0</v>
      </c>
      <c r="AA54" s="152">
        <f>MAX(0,X54+Y54-Z54)</f>
        <v/>
      </c>
      <c r="AB54" s="152">
        <f>AE53</f>
        <v/>
      </c>
      <c r="AC54" s="159">
        <f>IF(AB54&gt;0.005,AB54*Debts!D14/12,0)</f>
        <v/>
      </c>
      <c r="AD54" s="159" t="n">
        <v>0</v>
      </c>
      <c r="AE54" s="152">
        <f>MAX(0,AB54+AC54-AD54)</f>
        <v/>
      </c>
      <c r="AF54" s="152">
        <f>AI53</f>
        <v/>
      </c>
      <c r="AG54" s="159">
        <f>IF(AF54&gt;0.005,AF54*Debts!D15/12,0)</f>
        <v/>
      </c>
      <c r="AH54" s="159" t="n">
        <v>0</v>
      </c>
      <c r="AI54" s="152">
        <f>MAX(0,AF54+AG54-AH54)</f>
        <v/>
      </c>
      <c r="AJ54" s="152">
        <f>AM53</f>
        <v/>
      </c>
      <c r="AK54" s="159">
        <f>IF(AJ54&gt;0.005,AJ54*Debts!D16/12,0)</f>
        <v/>
      </c>
      <c r="AL54" s="159" t="n">
        <v>0</v>
      </c>
      <c r="AM54" s="152">
        <f>MAX(0,AJ54+AK54-AL54)</f>
        <v/>
      </c>
      <c r="AN54" s="152">
        <f>AQ53</f>
        <v/>
      </c>
      <c r="AO54" s="159">
        <f>IF(AN54&gt;0.005,AN54*Debts!D17/12,0)</f>
        <v/>
      </c>
      <c r="AP54" s="159" t="n">
        <v>0</v>
      </c>
      <c r="AQ54" s="152">
        <f>MAX(0,AN54+AO54-AP54)</f>
        <v/>
      </c>
      <c r="AR54" s="152">
        <f>AU53</f>
        <v/>
      </c>
      <c r="AS54" s="159">
        <f>IF(AR54&gt;0.005,AR54*Debts!D18/12,0)</f>
        <v/>
      </c>
      <c r="AT54" s="159" t="n">
        <v>0</v>
      </c>
      <c r="AU54" s="152">
        <f>MAX(0,AR54+AS54-AT54)</f>
        <v/>
      </c>
      <c r="AV54" s="152">
        <f>AY53</f>
        <v/>
      </c>
      <c r="AW54" s="159">
        <f>IF(AV54&gt;0.005,AV54*Debts!D19/12,0)</f>
        <v/>
      </c>
      <c r="AX54" s="159" t="n">
        <v>0</v>
      </c>
      <c r="AY54" s="152">
        <f>MAX(0,AV54+AW54-AX54)</f>
        <v/>
      </c>
      <c r="AZ54" s="152">
        <f>BC53</f>
        <v/>
      </c>
      <c r="BA54" s="159">
        <f>IF(AZ54&gt;0.005,AZ54*Debts!D20/12,0)</f>
        <v/>
      </c>
      <c r="BB54" s="159" t="n">
        <v>0</v>
      </c>
      <c r="BC54" s="152">
        <f>MAX(0,AZ54+BA54-BB54)</f>
        <v/>
      </c>
      <c r="BD54" s="152">
        <f>BG53</f>
        <v/>
      </c>
      <c r="BE54" s="159">
        <f>IF(BD54&gt;0.005,BD54*Debts!D21/12,0)</f>
        <v/>
      </c>
      <c r="BF54" s="159" t="n">
        <v>0</v>
      </c>
      <c r="BG54" s="152">
        <f>MAX(0,BD54+BE54-BF54)</f>
        <v/>
      </c>
      <c r="BH54" s="152">
        <f>BK53</f>
        <v/>
      </c>
      <c r="BI54" s="159">
        <f>IF(BH54&gt;0.005,BH54*Debts!D22/12,0)</f>
        <v/>
      </c>
      <c r="BJ54" s="159" t="n">
        <v>0</v>
      </c>
      <c r="BK54" s="152">
        <f>MAX(0,BH54+BI54-BJ54)</f>
        <v/>
      </c>
      <c r="BL54" s="152">
        <f>BO53</f>
        <v/>
      </c>
      <c r="BM54" s="159">
        <f>IF(BL54&gt;0.005,BL54*Debts!D23/12,0)</f>
        <v/>
      </c>
      <c r="BN54" s="159" t="n">
        <v>0</v>
      </c>
      <c r="BO54" s="152">
        <f>MAX(0,BL54+BM54-BN54)</f>
        <v/>
      </c>
      <c r="BP54" s="152">
        <f>BS53</f>
        <v/>
      </c>
      <c r="BQ54" s="159">
        <f>IF(BP54&gt;0.005,BP54*Debts!D24/12,0)</f>
        <v/>
      </c>
      <c r="BR54" s="159" t="n">
        <v>0</v>
      </c>
      <c r="BS54" s="152">
        <f>MAX(0,BP54+BQ54-BR54)</f>
        <v/>
      </c>
      <c r="BT54" s="152">
        <f>BW53</f>
        <v/>
      </c>
      <c r="BU54" s="159">
        <f>IF(BT54&gt;0.005,BT54*Debts!D25/12,0)</f>
        <v/>
      </c>
      <c r="BV54" s="159" t="n">
        <v>0</v>
      </c>
      <c r="BW54" s="152">
        <f>MAX(0,BT54+BU54-BV54)</f>
        <v/>
      </c>
      <c r="BX54" s="152">
        <f>CA53</f>
        <v/>
      </c>
      <c r="BY54" s="159">
        <f>IF(BX54&gt;0.005,BX54*Debts!D26/12,0)</f>
        <v/>
      </c>
      <c r="BZ54" s="159" t="n">
        <v>0</v>
      </c>
      <c r="CA54" s="152">
        <f>MAX(0,BX54+BY54-BZ54)</f>
        <v/>
      </c>
      <c r="CB54" s="152">
        <f>CE53</f>
        <v/>
      </c>
      <c r="CC54" s="159">
        <f>IF(CB54&gt;0.005,CB54*Debts!D27/12,0)</f>
        <v/>
      </c>
      <c r="CD54" s="159" t="n">
        <v>0</v>
      </c>
      <c r="CE54" s="152">
        <f>MAX(0,CB54+CC54-CD54)</f>
        <v/>
      </c>
      <c r="CF54" s="152">
        <f>G54+K54+O54+S54+W54+AA54+AE54+AI54+AM54+AQ54+AU54+AY54+BC54+BG54+BK54+BO54+BS54+BW54+CA54+CE54</f>
        <v/>
      </c>
      <c r="CG54" s="159">
        <f>E54+I54+M54+Q54+U54+Y54+AC54+AG54+AK54+AO54+AS54+AW54+BA54+BE54+BI54+BM54+BQ54+BU54+BY54+CC54</f>
        <v/>
      </c>
      <c r="CH54" s="152">
        <f>CH53+CG54</f>
        <v/>
      </c>
      <c r="CI54" s="148" t="n"/>
      <c r="CJ54" s="148" t="n"/>
    </row>
    <row r="55" ht="15" customHeight="1" s="83">
      <c r="A55" s="148" t="n"/>
      <c r="B55" s="158" t="n">
        <v>51</v>
      </c>
      <c r="C55" s="152">
        <f>F55+J55+N55+R55+V55+Z55+AD55+AH55+AL55+AP55+AT55+AX55+BB55+BF55+BJ55+BN55+BR55+BV55+BZ55+CD55</f>
        <v/>
      </c>
      <c r="D55" s="152">
        <f>G54</f>
        <v/>
      </c>
      <c r="E55" s="159">
        <f>IF(D55&gt;0.005,D55*Debts!D8/12,0)</f>
        <v/>
      </c>
      <c r="F55" s="159" t="n">
        <v>0</v>
      </c>
      <c r="G55" s="152">
        <f>MAX(0,D55+E55-F55)</f>
        <v/>
      </c>
      <c r="H55" s="152">
        <f>K54</f>
        <v/>
      </c>
      <c r="I55" s="159">
        <f>IF(H55&gt;0.005,H55*Debts!D9/12,0)</f>
        <v/>
      </c>
      <c r="J55" s="159" t="n">
        <v>0</v>
      </c>
      <c r="K55" s="152">
        <f>MAX(0,H55+I55-J55)</f>
        <v/>
      </c>
      <c r="L55" s="152">
        <f>O54</f>
        <v/>
      </c>
      <c r="M55" s="159">
        <f>IF(L55&gt;0.005,L55*Debts!D10/12,0)</f>
        <v/>
      </c>
      <c r="N55" s="159" t="n">
        <v>0</v>
      </c>
      <c r="O55" s="152">
        <f>MAX(0,L55+M55-N55)</f>
        <v/>
      </c>
      <c r="P55" s="152">
        <f>S54</f>
        <v/>
      </c>
      <c r="Q55" s="159">
        <f>IF(P55&gt;0.005,P55*Debts!D11/12,0)</f>
        <v/>
      </c>
      <c r="R55" s="159" t="n">
        <v>0</v>
      </c>
      <c r="S55" s="152">
        <f>MAX(0,P55+Q55-R55)</f>
        <v/>
      </c>
      <c r="T55" s="152">
        <f>W54</f>
        <v/>
      </c>
      <c r="U55" s="159">
        <f>IF(T55&gt;0.005,T55*Debts!D12/12,0)</f>
        <v/>
      </c>
      <c r="V55" s="159" t="n">
        <v>0</v>
      </c>
      <c r="W55" s="152">
        <f>MAX(0,T55+U55-V55)</f>
        <v/>
      </c>
      <c r="X55" s="152">
        <f>AA54</f>
        <v/>
      </c>
      <c r="Y55" s="159">
        <f>IF(X55&gt;0.005,X55*Debts!D13/12,0)</f>
        <v/>
      </c>
      <c r="Z55" s="159" t="n">
        <v>0</v>
      </c>
      <c r="AA55" s="152">
        <f>MAX(0,X55+Y55-Z55)</f>
        <v/>
      </c>
      <c r="AB55" s="152">
        <f>AE54</f>
        <v/>
      </c>
      <c r="AC55" s="159">
        <f>IF(AB55&gt;0.005,AB55*Debts!D14/12,0)</f>
        <v/>
      </c>
      <c r="AD55" s="159" t="n">
        <v>0</v>
      </c>
      <c r="AE55" s="152">
        <f>MAX(0,AB55+AC55-AD55)</f>
        <v/>
      </c>
      <c r="AF55" s="152">
        <f>AI54</f>
        <v/>
      </c>
      <c r="AG55" s="159">
        <f>IF(AF55&gt;0.005,AF55*Debts!D15/12,0)</f>
        <v/>
      </c>
      <c r="AH55" s="159" t="n">
        <v>0</v>
      </c>
      <c r="AI55" s="152">
        <f>MAX(0,AF55+AG55-AH55)</f>
        <v/>
      </c>
      <c r="AJ55" s="152">
        <f>AM54</f>
        <v/>
      </c>
      <c r="AK55" s="159">
        <f>IF(AJ55&gt;0.005,AJ55*Debts!D16/12,0)</f>
        <v/>
      </c>
      <c r="AL55" s="159" t="n">
        <v>0</v>
      </c>
      <c r="AM55" s="152">
        <f>MAX(0,AJ55+AK55-AL55)</f>
        <v/>
      </c>
      <c r="AN55" s="152">
        <f>AQ54</f>
        <v/>
      </c>
      <c r="AO55" s="159">
        <f>IF(AN55&gt;0.005,AN55*Debts!D17/12,0)</f>
        <v/>
      </c>
      <c r="AP55" s="159" t="n">
        <v>0</v>
      </c>
      <c r="AQ55" s="152">
        <f>MAX(0,AN55+AO55-AP55)</f>
        <v/>
      </c>
      <c r="AR55" s="152">
        <f>AU54</f>
        <v/>
      </c>
      <c r="AS55" s="159">
        <f>IF(AR55&gt;0.005,AR55*Debts!D18/12,0)</f>
        <v/>
      </c>
      <c r="AT55" s="159" t="n">
        <v>0</v>
      </c>
      <c r="AU55" s="152">
        <f>MAX(0,AR55+AS55-AT55)</f>
        <v/>
      </c>
      <c r="AV55" s="152">
        <f>AY54</f>
        <v/>
      </c>
      <c r="AW55" s="159">
        <f>IF(AV55&gt;0.005,AV55*Debts!D19/12,0)</f>
        <v/>
      </c>
      <c r="AX55" s="159" t="n">
        <v>0</v>
      </c>
      <c r="AY55" s="152">
        <f>MAX(0,AV55+AW55-AX55)</f>
        <v/>
      </c>
      <c r="AZ55" s="152">
        <f>BC54</f>
        <v/>
      </c>
      <c r="BA55" s="159">
        <f>IF(AZ55&gt;0.005,AZ55*Debts!D20/12,0)</f>
        <v/>
      </c>
      <c r="BB55" s="159" t="n">
        <v>0</v>
      </c>
      <c r="BC55" s="152">
        <f>MAX(0,AZ55+BA55-BB55)</f>
        <v/>
      </c>
      <c r="BD55" s="152">
        <f>BG54</f>
        <v/>
      </c>
      <c r="BE55" s="159">
        <f>IF(BD55&gt;0.005,BD55*Debts!D21/12,0)</f>
        <v/>
      </c>
      <c r="BF55" s="159" t="n">
        <v>0</v>
      </c>
      <c r="BG55" s="152">
        <f>MAX(0,BD55+BE55-BF55)</f>
        <v/>
      </c>
      <c r="BH55" s="152">
        <f>BK54</f>
        <v/>
      </c>
      <c r="BI55" s="159">
        <f>IF(BH55&gt;0.005,BH55*Debts!D22/12,0)</f>
        <v/>
      </c>
      <c r="BJ55" s="159" t="n">
        <v>0</v>
      </c>
      <c r="BK55" s="152">
        <f>MAX(0,BH55+BI55-BJ55)</f>
        <v/>
      </c>
      <c r="BL55" s="152">
        <f>BO54</f>
        <v/>
      </c>
      <c r="BM55" s="159">
        <f>IF(BL55&gt;0.005,BL55*Debts!D23/12,0)</f>
        <v/>
      </c>
      <c r="BN55" s="159" t="n">
        <v>0</v>
      </c>
      <c r="BO55" s="152">
        <f>MAX(0,BL55+BM55-BN55)</f>
        <v/>
      </c>
      <c r="BP55" s="152">
        <f>BS54</f>
        <v/>
      </c>
      <c r="BQ55" s="159">
        <f>IF(BP55&gt;0.005,BP55*Debts!D24/12,0)</f>
        <v/>
      </c>
      <c r="BR55" s="159" t="n">
        <v>0</v>
      </c>
      <c r="BS55" s="152">
        <f>MAX(0,BP55+BQ55-BR55)</f>
        <v/>
      </c>
      <c r="BT55" s="152">
        <f>BW54</f>
        <v/>
      </c>
      <c r="BU55" s="159">
        <f>IF(BT55&gt;0.005,BT55*Debts!D25/12,0)</f>
        <v/>
      </c>
      <c r="BV55" s="159" t="n">
        <v>0</v>
      </c>
      <c r="BW55" s="152">
        <f>MAX(0,BT55+BU55-BV55)</f>
        <v/>
      </c>
      <c r="BX55" s="152">
        <f>CA54</f>
        <v/>
      </c>
      <c r="BY55" s="159">
        <f>IF(BX55&gt;0.005,BX55*Debts!D26/12,0)</f>
        <v/>
      </c>
      <c r="BZ55" s="159" t="n">
        <v>0</v>
      </c>
      <c r="CA55" s="152">
        <f>MAX(0,BX55+BY55-BZ55)</f>
        <v/>
      </c>
      <c r="CB55" s="152">
        <f>CE54</f>
        <v/>
      </c>
      <c r="CC55" s="159">
        <f>IF(CB55&gt;0.005,CB55*Debts!D27/12,0)</f>
        <v/>
      </c>
      <c r="CD55" s="159" t="n">
        <v>0</v>
      </c>
      <c r="CE55" s="152">
        <f>MAX(0,CB55+CC55-CD55)</f>
        <v/>
      </c>
      <c r="CF55" s="152">
        <f>G55+K55+O55+S55+W55+AA55+AE55+AI55+AM55+AQ55+AU55+AY55+BC55+BG55+BK55+BO55+BS55+BW55+CA55+CE55</f>
        <v/>
      </c>
      <c r="CG55" s="159">
        <f>E55+I55+M55+Q55+U55+Y55+AC55+AG55+AK55+AO55+AS55+AW55+BA55+BE55+BI55+BM55+BQ55+BU55+BY55+CC55</f>
        <v/>
      </c>
      <c r="CH55" s="152">
        <f>CH54+CG55</f>
        <v/>
      </c>
      <c r="CI55" s="148" t="n"/>
      <c r="CJ55" s="148" t="n"/>
    </row>
    <row r="56" ht="15" customHeight="1" s="83">
      <c r="A56" s="148" t="n"/>
      <c r="B56" s="158" t="n">
        <v>52</v>
      </c>
      <c r="C56" s="152">
        <f>F56+J56+N56+R56+V56+Z56+AD56+AH56+AL56+AP56+AT56+AX56+BB56+BF56+BJ56+BN56+BR56+BV56+BZ56+CD56</f>
        <v/>
      </c>
      <c r="D56" s="152">
        <f>G55</f>
        <v/>
      </c>
      <c r="E56" s="159">
        <f>IF(D56&gt;0.005,D56*Debts!D8/12,0)</f>
        <v/>
      </c>
      <c r="F56" s="159" t="n">
        <v>0</v>
      </c>
      <c r="G56" s="152">
        <f>MAX(0,D56+E56-F56)</f>
        <v/>
      </c>
      <c r="H56" s="152">
        <f>K55</f>
        <v/>
      </c>
      <c r="I56" s="159">
        <f>IF(H56&gt;0.005,H56*Debts!D9/12,0)</f>
        <v/>
      </c>
      <c r="J56" s="159" t="n">
        <v>0</v>
      </c>
      <c r="K56" s="152">
        <f>MAX(0,H56+I56-J56)</f>
        <v/>
      </c>
      <c r="L56" s="152">
        <f>O55</f>
        <v/>
      </c>
      <c r="M56" s="159">
        <f>IF(L56&gt;0.005,L56*Debts!D10/12,0)</f>
        <v/>
      </c>
      <c r="N56" s="159" t="n">
        <v>0</v>
      </c>
      <c r="O56" s="152">
        <f>MAX(0,L56+M56-N56)</f>
        <v/>
      </c>
      <c r="P56" s="152">
        <f>S55</f>
        <v/>
      </c>
      <c r="Q56" s="159">
        <f>IF(P56&gt;0.005,P56*Debts!D11/12,0)</f>
        <v/>
      </c>
      <c r="R56" s="159" t="n">
        <v>0</v>
      </c>
      <c r="S56" s="152">
        <f>MAX(0,P56+Q56-R56)</f>
        <v/>
      </c>
      <c r="T56" s="152">
        <f>W55</f>
        <v/>
      </c>
      <c r="U56" s="159">
        <f>IF(T56&gt;0.005,T56*Debts!D12/12,0)</f>
        <v/>
      </c>
      <c r="V56" s="159" t="n">
        <v>0</v>
      </c>
      <c r="W56" s="152">
        <f>MAX(0,T56+U56-V56)</f>
        <v/>
      </c>
      <c r="X56" s="152">
        <f>AA55</f>
        <v/>
      </c>
      <c r="Y56" s="159">
        <f>IF(X56&gt;0.005,X56*Debts!D13/12,0)</f>
        <v/>
      </c>
      <c r="Z56" s="159" t="n">
        <v>0</v>
      </c>
      <c r="AA56" s="152">
        <f>MAX(0,X56+Y56-Z56)</f>
        <v/>
      </c>
      <c r="AB56" s="152">
        <f>AE55</f>
        <v/>
      </c>
      <c r="AC56" s="159">
        <f>IF(AB56&gt;0.005,AB56*Debts!D14/12,0)</f>
        <v/>
      </c>
      <c r="AD56" s="159" t="n">
        <v>0</v>
      </c>
      <c r="AE56" s="152">
        <f>MAX(0,AB56+AC56-AD56)</f>
        <v/>
      </c>
      <c r="AF56" s="152">
        <f>AI55</f>
        <v/>
      </c>
      <c r="AG56" s="159">
        <f>IF(AF56&gt;0.005,AF56*Debts!D15/12,0)</f>
        <v/>
      </c>
      <c r="AH56" s="159" t="n">
        <v>0</v>
      </c>
      <c r="AI56" s="152">
        <f>MAX(0,AF56+AG56-AH56)</f>
        <v/>
      </c>
      <c r="AJ56" s="152">
        <f>AM55</f>
        <v/>
      </c>
      <c r="AK56" s="159">
        <f>IF(AJ56&gt;0.005,AJ56*Debts!D16/12,0)</f>
        <v/>
      </c>
      <c r="AL56" s="159" t="n">
        <v>0</v>
      </c>
      <c r="AM56" s="152">
        <f>MAX(0,AJ56+AK56-AL56)</f>
        <v/>
      </c>
      <c r="AN56" s="152">
        <f>AQ55</f>
        <v/>
      </c>
      <c r="AO56" s="159">
        <f>IF(AN56&gt;0.005,AN56*Debts!D17/12,0)</f>
        <v/>
      </c>
      <c r="AP56" s="159" t="n">
        <v>0</v>
      </c>
      <c r="AQ56" s="152">
        <f>MAX(0,AN56+AO56-AP56)</f>
        <v/>
      </c>
      <c r="AR56" s="152">
        <f>AU55</f>
        <v/>
      </c>
      <c r="AS56" s="159">
        <f>IF(AR56&gt;0.005,AR56*Debts!D18/12,0)</f>
        <v/>
      </c>
      <c r="AT56" s="159" t="n">
        <v>0</v>
      </c>
      <c r="AU56" s="152">
        <f>MAX(0,AR56+AS56-AT56)</f>
        <v/>
      </c>
      <c r="AV56" s="152">
        <f>AY55</f>
        <v/>
      </c>
      <c r="AW56" s="159">
        <f>IF(AV56&gt;0.005,AV56*Debts!D19/12,0)</f>
        <v/>
      </c>
      <c r="AX56" s="159" t="n">
        <v>0</v>
      </c>
      <c r="AY56" s="152">
        <f>MAX(0,AV56+AW56-AX56)</f>
        <v/>
      </c>
      <c r="AZ56" s="152">
        <f>BC55</f>
        <v/>
      </c>
      <c r="BA56" s="159">
        <f>IF(AZ56&gt;0.005,AZ56*Debts!D20/12,0)</f>
        <v/>
      </c>
      <c r="BB56" s="159" t="n">
        <v>0</v>
      </c>
      <c r="BC56" s="152">
        <f>MAX(0,AZ56+BA56-BB56)</f>
        <v/>
      </c>
      <c r="BD56" s="152">
        <f>BG55</f>
        <v/>
      </c>
      <c r="BE56" s="159">
        <f>IF(BD56&gt;0.005,BD56*Debts!D21/12,0)</f>
        <v/>
      </c>
      <c r="BF56" s="159" t="n">
        <v>0</v>
      </c>
      <c r="BG56" s="152">
        <f>MAX(0,BD56+BE56-BF56)</f>
        <v/>
      </c>
      <c r="BH56" s="152">
        <f>BK55</f>
        <v/>
      </c>
      <c r="BI56" s="159">
        <f>IF(BH56&gt;0.005,BH56*Debts!D22/12,0)</f>
        <v/>
      </c>
      <c r="BJ56" s="159" t="n">
        <v>0</v>
      </c>
      <c r="BK56" s="152">
        <f>MAX(0,BH56+BI56-BJ56)</f>
        <v/>
      </c>
      <c r="BL56" s="152">
        <f>BO55</f>
        <v/>
      </c>
      <c r="BM56" s="159">
        <f>IF(BL56&gt;0.005,BL56*Debts!D23/12,0)</f>
        <v/>
      </c>
      <c r="BN56" s="159" t="n">
        <v>0</v>
      </c>
      <c r="BO56" s="152">
        <f>MAX(0,BL56+BM56-BN56)</f>
        <v/>
      </c>
      <c r="BP56" s="152">
        <f>BS55</f>
        <v/>
      </c>
      <c r="BQ56" s="159">
        <f>IF(BP56&gt;0.005,BP56*Debts!D24/12,0)</f>
        <v/>
      </c>
      <c r="BR56" s="159" t="n">
        <v>0</v>
      </c>
      <c r="BS56" s="152">
        <f>MAX(0,BP56+BQ56-BR56)</f>
        <v/>
      </c>
      <c r="BT56" s="152">
        <f>BW55</f>
        <v/>
      </c>
      <c r="BU56" s="159">
        <f>IF(BT56&gt;0.005,BT56*Debts!D25/12,0)</f>
        <v/>
      </c>
      <c r="BV56" s="159" t="n">
        <v>0</v>
      </c>
      <c r="BW56" s="152">
        <f>MAX(0,BT56+BU56-BV56)</f>
        <v/>
      </c>
      <c r="BX56" s="152">
        <f>CA55</f>
        <v/>
      </c>
      <c r="BY56" s="159">
        <f>IF(BX56&gt;0.005,BX56*Debts!D26/12,0)</f>
        <v/>
      </c>
      <c r="BZ56" s="159" t="n">
        <v>0</v>
      </c>
      <c r="CA56" s="152">
        <f>MAX(0,BX56+BY56-BZ56)</f>
        <v/>
      </c>
      <c r="CB56" s="152">
        <f>CE55</f>
        <v/>
      </c>
      <c r="CC56" s="159">
        <f>IF(CB56&gt;0.005,CB56*Debts!D27/12,0)</f>
        <v/>
      </c>
      <c r="CD56" s="159" t="n">
        <v>0</v>
      </c>
      <c r="CE56" s="152">
        <f>MAX(0,CB56+CC56-CD56)</f>
        <v/>
      </c>
      <c r="CF56" s="152">
        <f>G56+K56+O56+S56+W56+AA56+AE56+AI56+AM56+AQ56+AU56+AY56+BC56+BG56+BK56+BO56+BS56+BW56+CA56+CE56</f>
        <v/>
      </c>
      <c r="CG56" s="159">
        <f>E56+I56+M56+Q56+U56+Y56+AC56+AG56+AK56+AO56+AS56+AW56+BA56+BE56+BI56+BM56+BQ56+BU56+BY56+CC56</f>
        <v/>
      </c>
      <c r="CH56" s="152">
        <f>CH55+CG56</f>
        <v/>
      </c>
      <c r="CI56" s="148" t="n"/>
      <c r="CJ56" s="148" t="n"/>
    </row>
    <row r="57" ht="15" customHeight="1" s="83">
      <c r="A57" s="148" t="n"/>
      <c r="B57" s="158" t="n">
        <v>53</v>
      </c>
      <c r="C57" s="152">
        <f>F57+J57+N57+R57+V57+Z57+AD57+AH57+AL57+AP57+AT57+AX57+BB57+BF57+BJ57+BN57+BR57+BV57+BZ57+CD57</f>
        <v/>
      </c>
      <c r="D57" s="152">
        <f>G56</f>
        <v/>
      </c>
      <c r="E57" s="159">
        <f>IF(D57&gt;0.005,D57*Debts!D8/12,0)</f>
        <v/>
      </c>
      <c r="F57" s="159" t="n">
        <v>0</v>
      </c>
      <c r="G57" s="152">
        <f>MAX(0,D57+E57-F57)</f>
        <v/>
      </c>
      <c r="H57" s="152">
        <f>K56</f>
        <v/>
      </c>
      <c r="I57" s="159">
        <f>IF(H57&gt;0.005,H57*Debts!D9/12,0)</f>
        <v/>
      </c>
      <c r="J57" s="159" t="n">
        <v>0</v>
      </c>
      <c r="K57" s="152">
        <f>MAX(0,H57+I57-J57)</f>
        <v/>
      </c>
      <c r="L57" s="152">
        <f>O56</f>
        <v/>
      </c>
      <c r="M57" s="159">
        <f>IF(L57&gt;0.005,L57*Debts!D10/12,0)</f>
        <v/>
      </c>
      <c r="N57" s="159" t="n">
        <v>0</v>
      </c>
      <c r="O57" s="152">
        <f>MAX(0,L57+M57-N57)</f>
        <v/>
      </c>
      <c r="P57" s="152">
        <f>S56</f>
        <v/>
      </c>
      <c r="Q57" s="159">
        <f>IF(P57&gt;0.005,P57*Debts!D11/12,0)</f>
        <v/>
      </c>
      <c r="R57" s="159" t="n">
        <v>0</v>
      </c>
      <c r="S57" s="152">
        <f>MAX(0,P57+Q57-R57)</f>
        <v/>
      </c>
      <c r="T57" s="152">
        <f>W56</f>
        <v/>
      </c>
      <c r="U57" s="159">
        <f>IF(T57&gt;0.005,T57*Debts!D12/12,0)</f>
        <v/>
      </c>
      <c r="V57" s="159" t="n">
        <v>0</v>
      </c>
      <c r="W57" s="152">
        <f>MAX(0,T57+U57-V57)</f>
        <v/>
      </c>
      <c r="X57" s="152">
        <f>AA56</f>
        <v/>
      </c>
      <c r="Y57" s="159">
        <f>IF(X57&gt;0.005,X57*Debts!D13/12,0)</f>
        <v/>
      </c>
      <c r="Z57" s="159" t="n">
        <v>0</v>
      </c>
      <c r="AA57" s="152">
        <f>MAX(0,X57+Y57-Z57)</f>
        <v/>
      </c>
      <c r="AB57" s="152">
        <f>AE56</f>
        <v/>
      </c>
      <c r="AC57" s="159">
        <f>IF(AB57&gt;0.005,AB57*Debts!D14/12,0)</f>
        <v/>
      </c>
      <c r="AD57" s="159" t="n">
        <v>0</v>
      </c>
      <c r="AE57" s="152">
        <f>MAX(0,AB57+AC57-AD57)</f>
        <v/>
      </c>
      <c r="AF57" s="152">
        <f>AI56</f>
        <v/>
      </c>
      <c r="AG57" s="159">
        <f>IF(AF57&gt;0.005,AF57*Debts!D15/12,0)</f>
        <v/>
      </c>
      <c r="AH57" s="159" t="n">
        <v>0</v>
      </c>
      <c r="AI57" s="152">
        <f>MAX(0,AF57+AG57-AH57)</f>
        <v/>
      </c>
      <c r="AJ57" s="152">
        <f>AM56</f>
        <v/>
      </c>
      <c r="AK57" s="159">
        <f>IF(AJ57&gt;0.005,AJ57*Debts!D16/12,0)</f>
        <v/>
      </c>
      <c r="AL57" s="159" t="n">
        <v>0</v>
      </c>
      <c r="AM57" s="152">
        <f>MAX(0,AJ57+AK57-AL57)</f>
        <v/>
      </c>
      <c r="AN57" s="152">
        <f>AQ56</f>
        <v/>
      </c>
      <c r="AO57" s="159">
        <f>IF(AN57&gt;0.005,AN57*Debts!D17/12,0)</f>
        <v/>
      </c>
      <c r="AP57" s="159" t="n">
        <v>0</v>
      </c>
      <c r="AQ57" s="152">
        <f>MAX(0,AN57+AO57-AP57)</f>
        <v/>
      </c>
      <c r="AR57" s="152">
        <f>AU56</f>
        <v/>
      </c>
      <c r="AS57" s="159">
        <f>IF(AR57&gt;0.005,AR57*Debts!D18/12,0)</f>
        <v/>
      </c>
      <c r="AT57" s="159" t="n">
        <v>0</v>
      </c>
      <c r="AU57" s="152">
        <f>MAX(0,AR57+AS57-AT57)</f>
        <v/>
      </c>
      <c r="AV57" s="152">
        <f>AY56</f>
        <v/>
      </c>
      <c r="AW57" s="159">
        <f>IF(AV57&gt;0.005,AV57*Debts!D19/12,0)</f>
        <v/>
      </c>
      <c r="AX57" s="159" t="n">
        <v>0</v>
      </c>
      <c r="AY57" s="152">
        <f>MAX(0,AV57+AW57-AX57)</f>
        <v/>
      </c>
      <c r="AZ57" s="152">
        <f>BC56</f>
        <v/>
      </c>
      <c r="BA57" s="159">
        <f>IF(AZ57&gt;0.005,AZ57*Debts!D20/12,0)</f>
        <v/>
      </c>
      <c r="BB57" s="159" t="n">
        <v>0</v>
      </c>
      <c r="BC57" s="152">
        <f>MAX(0,AZ57+BA57-BB57)</f>
        <v/>
      </c>
      <c r="BD57" s="152">
        <f>BG56</f>
        <v/>
      </c>
      <c r="BE57" s="159">
        <f>IF(BD57&gt;0.005,BD57*Debts!D21/12,0)</f>
        <v/>
      </c>
      <c r="BF57" s="159" t="n">
        <v>0</v>
      </c>
      <c r="BG57" s="152">
        <f>MAX(0,BD57+BE57-BF57)</f>
        <v/>
      </c>
      <c r="BH57" s="152">
        <f>BK56</f>
        <v/>
      </c>
      <c r="BI57" s="159">
        <f>IF(BH57&gt;0.005,BH57*Debts!D22/12,0)</f>
        <v/>
      </c>
      <c r="BJ57" s="159" t="n">
        <v>0</v>
      </c>
      <c r="BK57" s="152">
        <f>MAX(0,BH57+BI57-BJ57)</f>
        <v/>
      </c>
      <c r="BL57" s="152">
        <f>BO56</f>
        <v/>
      </c>
      <c r="BM57" s="159">
        <f>IF(BL57&gt;0.005,BL57*Debts!D23/12,0)</f>
        <v/>
      </c>
      <c r="BN57" s="159" t="n">
        <v>0</v>
      </c>
      <c r="BO57" s="152">
        <f>MAX(0,BL57+BM57-BN57)</f>
        <v/>
      </c>
      <c r="BP57" s="152">
        <f>BS56</f>
        <v/>
      </c>
      <c r="BQ57" s="159">
        <f>IF(BP57&gt;0.005,BP57*Debts!D24/12,0)</f>
        <v/>
      </c>
      <c r="BR57" s="159" t="n">
        <v>0</v>
      </c>
      <c r="BS57" s="152">
        <f>MAX(0,BP57+BQ57-BR57)</f>
        <v/>
      </c>
      <c r="BT57" s="152">
        <f>BW56</f>
        <v/>
      </c>
      <c r="BU57" s="159">
        <f>IF(BT57&gt;0.005,BT57*Debts!D25/12,0)</f>
        <v/>
      </c>
      <c r="BV57" s="159" t="n">
        <v>0</v>
      </c>
      <c r="BW57" s="152">
        <f>MAX(0,BT57+BU57-BV57)</f>
        <v/>
      </c>
      <c r="BX57" s="152">
        <f>CA56</f>
        <v/>
      </c>
      <c r="BY57" s="159">
        <f>IF(BX57&gt;0.005,BX57*Debts!D26/12,0)</f>
        <v/>
      </c>
      <c r="BZ57" s="159" t="n">
        <v>0</v>
      </c>
      <c r="CA57" s="152">
        <f>MAX(0,BX57+BY57-BZ57)</f>
        <v/>
      </c>
      <c r="CB57" s="152">
        <f>CE56</f>
        <v/>
      </c>
      <c r="CC57" s="159">
        <f>IF(CB57&gt;0.005,CB57*Debts!D27/12,0)</f>
        <v/>
      </c>
      <c r="CD57" s="159" t="n">
        <v>0</v>
      </c>
      <c r="CE57" s="152">
        <f>MAX(0,CB57+CC57-CD57)</f>
        <v/>
      </c>
      <c r="CF57" s="152">
        <f>G57+K57+O57+S57+W57+AA57+AE57+AI57+AM57+AQ57+AU57+AY57+BC57+BG57+BK57+BO57+BS57+BW57+CA57+CE57</f>
        <v/>
      </c>
      <c r="CG57" s="159">
        <f>E57+I57+M57+Q57+U57+Y57+AC57+AG57+AK57+AO57+AS57+AW57+BA57+BE57+BI57+BM57+BQ57+BU57+BY57+CC57</f>
        <v/>
      </c>
      <c r="CH57" s="152">
        <f>CH56+CG57</f>
        <v/>
      </c>
      <c r="CI57" s="148" t="n"/>
      <c r="CJ57" s="148" t="n"/>
    </row>
    <row r="58" ht="15" customHeight="1" s="83">
      <c r="A58" s="148" t="n"/>
      <c r="B58" s="158" t="n">
        <v>54</v>
      </c>
      <c r="C58" s="152">
        <f>F58+J58+N58+R58+V58+Z58+AD58+AH58+AL58+AP58+AT58+AX58+BB58+BF58+BJ58+BN58+BR58+BV58+BZ58+CD58</f>
        <v/>
      </c>
      <c r="D58" s="152">
        <f>G57</f>
        <v/>
      </c>
      <c r="E58" s="159">
        <f>IF(D58&gt;0.005,D58*Debts!D8/12,0)</f>
        <v/>
      </c>
      <c r="F58" s="159" t="n">
        <v>0</v>
      </c>
      <c r="G58" s="152">
        <f>MAX(0,D58+E58-F58)</f>
        <v/>
      </c>
      <c r="H58" s="152">
        <f>K57</f>
        <v/>
      </c>
      <c r="I58" s="159">
        <f>IF(H58&gt;0.005,H58*Debts!D9/12,0)</f>
        <v/>
      </c>
      <c r="J58" s="159" t="n">
        <v>0</v>
      </c>
      <c r="K58" s="152">
        <f>MAX(0,H58+I58-J58)</f>
        <v/>
      </c>
      <c r="L58" s="152">
        <f>O57</f>
        <v/>
      </c>
      <c r="M58" s="159">
        <f>IF(L58&gt;0.005,L58*Debts!D10/12,0)</f>
        <v/>
      </c>
      <c r="N58" s="159" t="n">
        <v>0</v>
      </c>
      <c r="O58" s="152">
        <f>MAX(0,L58+M58-N58)</f>
        <v/>
      </c>
      <c r="P58" s="152">
        <f>S57</f>
        <v/>
      </c>
      <c r="Q58" s="159">
        <f>IF(P58&gt;0.005,P58*Debts!D11/12,0)</f>
        <v/>
      </c>
      <c r="R58" s="159" t="n">
        <v>0</v>
      </c>
      <c r="S58" s="152">
        <f>MAX(0,P58+Q58-R58)</f>
        <v/>
      </c>
      <c r="T58" s="152">
        <f>W57</f>
        <v/>
      </c>
      <c r="U58" s="159">
        <f>IF(T58&gt;0.005,T58*Debts!D12/12,0)</f>
        <v/>
      </c>
      <c r="V58" s="159" t="n">
        <v>0</v>
      </c>
      <c r="W58" s="152">
        <f>MAX(0,T58+U58-V58)</f>
        <v/>
      </c>
      <c r="X58" s="152">
        <f>AA57</f>
        <v/>
      </c>
      <c r="Y58" s="159">
        <f>IF(X58&gt;0.005,X58*Debts!D13/12,0)</f>
        <v/>
      </c>
      <c r="Z58" s="159" t="n">
        <v>0</v>
      </c>
      <c r="AA58" s="152">
        <f>MAX(0,X58+Y58-Z58)</f>
        <v/>
      </c>
      <c r="AB58" s="152">
        <f>AE57</f>
        <v/>
      </c>
      <c r="AC58" s="159">
        <f>IF(AB58&gt;0.005,AB58*Debts!D14/12,0)</f>
        <v/>
      </c>
      <c r="AD58" s="159" t="n">
        <v>0</v>
      </c>
      <c r="AE58" s="152">
        <f>MAX(0,AB58+AC58-AD58)</f>
        <v/>
      </c>
      <c r="AF58" s="152">
        <f>AI57</f>
        <v/>
      </c>
      <c r="AG58" s="159">
        <f>IF(AF58&gt;0.005,AF58*Debts!D15/12,0)</f>
        <v/>
      </c>
      <c r="AH58" s="159" t="n">
        <v>0</v>
      </c>
      <c r="AI58" s="152">
        <f>MAX(0,AF58+AG58-AH58)</f>
        <v/>
      </c>
      <c r="AJ58" s="152">
        <f>AM57</f>
        <v/>
      </c>
      <c r="AK58" s="159">
        <f>IF(AJ58&gt;0.005,AJ58*Debts!D16/12,0)</f>
        <v/>
      </c>
      <c r="AL58" s="159" t="n">
        <v>0</v>
      </c>
      <c r="AM58" s="152">
        <f>MAX(0,AJ58+AK58-AL58)</f>
        <v/>
      </c>
      <c r="AN58" s="152">
        <f>AQ57</f>
        <v/>
      </c>
      <c r="AO58" s="159">
        <f>IF(AN58&gt;0.005,AN58*Debts!D17/12,0)</f>
        <v/>
      </c>
      <c r="AP58" s="159" t="n">
        <v>0</v>
      </c>
      <c r="AQ58" s="152">
        <f>MAX(0,AN58+AO58-AP58)</f>
        <v/>
      </c>
      <c r="AR58" s="152">
        <f>AU57</f>
        <v/>
      </c>
      <c r="AS58" s="159">
        <f>IF(AR58&gt;0.005,AR58*Debts!D18/12,0)</f>
        <v/>
      </c>
      <c r="AT58" s="159" t="n">
        <v>0</v>
      </c>
      <c r="AU58" s="152">
        <f>MAX(0,AR58+AS58-AT58)</f>
        <v/>
      </c>
      <c r="AV58" s="152">
        <f>AY57</f>
        <v/>
      </c>
      <c r="AW58" s="159">
        <f>IF(AV58&gt;0.005,AV58*Debts!D19/12,0)</f>
        <v/>
      </c>
      <c r="AX58" s="159" t="n">
        <v>0</v>
      </c>
      <c r="AY58" s="152">
        <f>MAX(0,AV58+AW58-AX58)</f>
        <v/>
      </c>
      <c r="AZ58" s="152">
        <f>BC57</f>
        <v/>
      </c>
      <c r="BA58" s="159">
        <f>IF(AZ58&gt;0.005,AZ58*Debts!D20/12,0)</f>
        <v/>
      </c>
      <c r="BB58" s="159" t="n">
        <v>0</v>
      </c>
      <c r="BC58" s="152">
        <f>MAX(0,AZ58+BA58-BB58)</f>
        <v/>
      </c>
      <c r="BD58" s="152">
        <f>BG57</f>
        <v/>
      </c>
      <c r="BE58" s="159">
        <f>IF(BD58&gt;0.005,BD58*Debts!D21/12,0)</f>
        <v/>
      </c>
      <c r="BF58" s="159" t="n">
        <v>0</v>
      </c>
      <c r="BG58" s="152">
        <f>MAX(0,BD58+BE58-BF58)</f>
        <v/>
      </c>
      <c r="BH58" s="152">
        <f>BK57</f>
        <v/>
      </c>
      <c r="BI58" s="159">
        <f>IF(BH58&gt;0.005,BH58*Debts!D22/12,0)</f>
        <v/>
      </c>
      <c r="BJ58" s="159" t="n">
        <v>0</v>
      </c>
      <c r="BK58" s="152">
        <f>MAX(0,BH58+BI58-BJ58)</f>
        <v/>
      </c>
      <c r="BL58" s="152">
        <f>BO57</f>
        <v/>
      </c>
      <c r="BM58" s="159">
        <f>IF(BL58&gt;0.005,BL58*Debts!D23/12,0)</f>
        <v/>
      </c>
      <c r="BN58" s="159" t="n">
        <v>0</v>
      </c>
      <c r="BO58" s="152">
        <f>MAX(0,BL58+BM58-BN58)</f>
        <v/>
      </c>
      <c r="BP58" s="152">
        <f>BS57</f>
        <v/>
      </c>
      <c r="BQ58" s="159">
        <f>IF(BP58&gt;0.005,BP58*Debts!D24/12,0)</f>
        <v/>
      </c>
      <c r="BR58" s="159" t="n">
        <v>0</v>
      </c>
      <c r="BS58" s="152">
        <f>MAX(0,BP58+BQ58-BR58)</f>
        <v/>
      </c>
      <c r="BT58" s="152">
        <f>BW57</f>
        <v/>
      </c>
      <c r="BU58" s="159">
        <f>IF(BT58&gt;0.005,BT58*Debts!D25/12,0)</f>
        <v/>
      </c>
      <c r="BV58" s="159" t="n">
        <v>0</v>
      </c>
      <c r="BW58" s="152">
        <f>MAX(0,BT58+BU58-BV58)</f>
        <v/>
      </c>
      <c r="BX58" s="152">
        <f>CA57</f>
        <v/>
      </c>
      <c r="BY58" s="159">
        <f>IF(BX58&gt;0.005,BX58*Debts!D26/12,0)</f>
        <v/>
      </c>
      <c r="BZ58" s="159" t="n">
        <v>0</v>
      </c>
      <c r="CA58" s="152">
        <f>MAX(0,BX58+BY58-BZ58)</f>
        <v/>
      </c>
      <c r="CB58" s="152">
        <f>CE57</f>
        <v/>
      </c>
      <c r="CC58" s="159">
        <f>IF(CB58&gt;0.005,CB58*Debts!D27/12,0)</f>
        <v/>
      </c>
      <c r="CD58" s="159" t="n">
        <v>0</v>
      </c>
      <c r="CE58" s="152">
        <f>MAX(0,CB58+CC58-CD58)</f>
        <v/>
      </c>
      <c r="CF58" s="152">
        <f>G58+K58+O58+S58+W58+AA58+AE58+AI58+AM58+AQ58+AU58+AY58+BC58+BG58+BK58+BO58+BS58+BW58+CA58+CE58</f>
        <v/>
      </c>
      <c r="CG58" s="159">
        <f>E58+I58+M58+Q58+U58+Y58+AC58+AG58+AK58+AO58+AS58+AW58+BA58+BE58+BI58+BM58+BQ58+BU58+BY58+CC58</f>
        <v/>
      </c>
      <c r="CH58" s="152">
        <f>CH57+CG58</f>
        <v/>
      </c>
      <c r="CI58" s="148" t="n"/>
      <c r="CJ58" s="148" t="n"/>
    </row>
    <row r="59" ht="15" customHeight="1" s="83">
      <c r="A59" s="148" t="n"/>
      <c r="B59" s="158" t="n">
        <v>55</v>
      </c>
      <c r="C59" s="152">
        <f>F59+J59+N59+R59+V59+Z59+AD59+AH59+AL59+AP59+AT59+AX59+BB59+BF59+BJ59+BN59+BR59+BV59+BZ59+CD59</f>
        <v/>
      </c>
      <c r="D59" s="152">
        <f>G58</f>
        <v/>
      </c>
      <c r="E59" s="159">
        <f>IF(D59&gt;0.005,D59*Debts!D8/12,0)</f>
        <v/>
      </c>
      <c r="F59" s="159" t="n">
        <v>0</v>
      </c>
      <c r="G59" s="152">
        <f>MAX(0,D59+E59-F59)</f>
        <v/>
      </c>
      <c r="H59" s="152">
        <f>K58</f>
        <v/>
      </c>
      <c r="I59" s="159">
        <f>IF(H59&gt;0.005,H59*Debts!D9/12,0)</f>
        <v/>
      </c>
      <c r="J59" s="159" t="n">
        <v>0</v>
      </c>
      <c r="K59" s="152">
        <f>MAX(0,H59+I59-J59)</f>
        <v/>
      </c>
      <c r="L59" s="152">
        <f>O58</f>
        <v/>
      </c>
      <c r="M59" s="159">
        <f>IF(L59&gt;0.005,L59*Debts!D10/12,0)</f>
        <v/>
      </c>
      <c r="N59" s="159" t="n">
        <v>0</v>
      </c>
      <c r="O59" s="152">
        <f>MAX(0,L59+M59-N59)</f>
        <v/>
      </c>
      <c r="P59" s="152">
        <f>S58</f>
        <v/>
      </c>
      <c r="Q59" s="159">
        <f>IF(P59&gt;0.005,P59*Debts!D11/12,0)</f>
        <v/>
      </c>
      <c r="R59" s="159" t="n">
        <v>0</v>
      </c>
      <c r="S59" s="152">
        <f>MAX(0,P59+Q59-R59)</f>
        <v/>
      </c>
      <c r="T59" s="152">
        <f>W58</f>
        <v/>
      </c>
      <c r="U59" s="159">
        <f>IF(T59&gt;0.005,T59*Debts!D12/12,0)</f>
        <v/>
      </c>
      <c r="V59" s="159" t="n">
        <v>0</v>
      </c>
      <c r="W59" s="152">
        <f>MAX(0,T59+U59-V59)</f>
        <v/>
      </c>
      <c r="X59" s="152">
        <f>AA58</f>
        <v/>
      </c>
      <c r="Y59" s="159">
        <f>IF(X59&gt;0.005,X59*Debts!D13/12,0)</f>
        <v/>
      </c>
      <c r="Z59" s="159" t="n">
        <v>0</v>
      </c>
      <c r="AA59" s="152">
        <f>MAX(0,X59+Y59-Z59)</f>
        <v/>
      </c>
      <c r="AB59" s="152">
        <f>AE58</f>
        <v/>
      </c>
      <c r="AC59" s="159">
        <f>IF(AB59&gt;0.005,AB59*Debts!D14/12,0)</f>
        <v/>
      </c>
      <c r="AD59" s="159" t="n">
        <v>0</v>
      </c>
      <c r="AE59" s="152">
        <f>MAX(0,AB59+AC59-AD59)</f>
        <v/>
      </c>
      <c r="AF59" s="152">
        <f>AI58</f>
        <v/>
      </c>
      <c r="AG59" s="159">
        <f>IF(AF59&gt;0.005,AF59*Debts!D15/12,0)</f>
        <v/>
      </c>
      <c r="AH59" s="159" t="n">
        <v>0</v>
      </c>
      <c r="AI59" s="152">
        <f>MAX(0,AF59+AG59-AH59)</f>
        <v/>
      </c>
      <c r="AJ59" s="152">
        <f>AM58</f>
        <v/>
      </c>
      <c r="AK59" s="159">
        <f>IF(AJ59&gt;0.005,AJ59*Debts!D16/12,0)</f>
        <v/>
      </c>
      <c r="AL59" s="159" t="n">
        <v>0</v>
      </c>
      <c r="AM59" s="152">
        <f>MAX(0,AJ59+AK59-AL59)</f>
        <v/>
      </c>
      <c r="AN59" s="152">
        <f>AQ58</f>
        <v/>
      </c>
      <c r="AO59" s="159">
        <f>IF(AN59&gt;0.005,AN59*Debts!D17/12,0)</f>
        <v/>
      </c>
      <c r="AP59" s="159" t="n">
        <v>0</v>
      </c>
      <c r="AQ59" s="152">
        <f>MAX(0,AN59+AO59-AP59)</f>
        <v/>
      </c>
      <c r="AR59" s="152">
        <f>AU58</f>
        <v/>
      </c>
      <c r="AS59" s="159">
        <f>IF(AR59&gt;0.005,AR59*Debts!D18/12,0)</f>
        <v/>
      </c>
      <c r="AT59" s="159" t="n">
        <v>0</v>
      </c>
      <c r="AU59" s="152">
        <f>MAX(0,AR59+AS59-AT59)</f>
        <v/>
      </c>
      <c r="AV59" s="152">
        <f>AY58</f>
        <v/>
      </c>
      <c r="AW59" s="159">
        <f>IF(AV59&gt;0.005,AV59*Debts!D19/12,0)</f>
        <v/>
      </c>
      <c r="AX59" s="159" t="n">
        <v>0</v>
      </c>
      <c r="AY59" s="152">
        <f>MAX(0,AV59+AW59-AX59)</f>
        <v/>
      </c>
      <c r="AZ59" s="152">
        <f>BC58</f>
        <v/>
      </c>
      <c r="BA59" s="159">
        <f>IF(AZ59&gt;0.005,AZ59*Debts!D20/12,0)</f>
        <v/>
      </c>
      <c r="BB59" s="159" t="n">
        <v>0</v>
      </c>
      <c r="BC59" s="152">
        <f>MAX(0,AZ59+BA59-BB59)</f>
        <v/>
      </c>
      <c r="BD59" s="152">
        <f>BG58</f>
        <v/>
      </c>
      <c r="BE59" s="159">
        <f>IF(BD59&gt;0.005,BD59*Debts!D21/12,0)</f>
        <v/>
      </c>
      <c r="BF59" s="159" t="n">
        <v>0</v>
      </c>
      <c r="BG59" s="152">
        <f>MAX(0,BD59+BE59-BF59)</f>
        <v/>
      </c>
      <c r="BH59" s="152">
        <f>BK58</f>
        <v/>
      </c>
      <c r="BI59" s="159">
        <f>IF(BH59&gt;0.005,BH59*Debts!D22/12,0)</f>
        <v/>
      </c>
      <c r="BJ59" s="159" t="n">
        <v>0</v>
      </c>
      <c r="BK59" s="152">
        <f>MAX(0,BH59+BI59-BJ59)</f>
        <v/>
      </c>
      <c r="BL59" s="152">
        <f>BO58</f>
        <v/>
      </c>
      <c r="BM59" s="159">
        <f>IF(BL59&gt;0.005,BL59*Debts!D23/12,0)</f>
        <v/>
      </c>
      <c r="BN59" s="159" t="n">
        <v>0</v>
      </c>
      <c r="BO59" s="152">
        <f>MAX(0,BL59+BM59-BN59)</f>
        <v/>
      </c>
      <c r="BP59" s="152">
        <f>BS58</f>
        <v/>
      </c>
      <c r="BQ59" s="159">
        <f>IF(BP59&gt;0.005,BP59*Debts!D24/12,0)</f>
        <v/>
      </c>
      <c r="BR59" s="159" t="n">
        <v>0</v>
      </c>
      <c r="BS59" s="152">
        <f>MAX(0,BP59+BQ59-BR59)</f>
        <v/>
      </c>
      <c r="BT59" s="152">
        <f>BW58</f>
        <v/>
      </c>
      <c r="BU59" s="159">
        <f>IF(BT59&gt;0.005,BT59*Debts!D25/12,0)</f>
        <v/>
      </c>
      <c r="BV59" s="159" t="n">
        <v>0</v>
      </c>
      <c r="BW59" s="152">
        <f>MAX(0,BT59+BU59-BV59)</f>
        <v/>
      </c>
      <c r="BX59" s="152">
        <f>CA58</f>
        <v/>
      </c>
      <c r="BY59" s="159">
        <f>IF(BX59&gt;0.005,BX59*Debts!D26/12,0)</f>
        <v/>
      </c>
      <c r="BZ59" s="159" t="n">
        <v>0</v>
      </c>
      <c r="CA59" s="152">
        <f>MAX(0,BX59+BY59-BZ59)</f>
        <v/>
      </c>
      <c r="CB59" s="152">
        <f>CE58</f>
        <v/>
      </c>
      <c r="CC59" s="159">
        <f>IF(CB59&gt;0.005,CB59*Debts!D27/12,0)</f>
        <v/>
      </c>
      <c r="CD59" s="159" t="n">
        <v>0</v>
      </c>
      <c r="CE59" s="152">
        <f>MAX(0,CB59+CC59-CD59)</f>
        <v/>
      </c>
      <c r="CF59" s="152">
        <f>G59+K59+O59+S59+W59+AA59+AE59+AI59+AM59+AQ59+AU59+AY59+BC59+BG59+BK59+BO59+BS59+BW59+CA59+CE59</f>
        <v/>
      </c>
      <c r="CG59" s="159">
        <f>E59+I59+M59+Q59+U59+Y59+AC59+AG59+AK59+AO59+AS59+AW59+BA59+BE59+BI59+BM59+BQ59+BU59+BY59+CC59</f>
        <v/>
      </c>
      <c r="CH59" s="152">
        <f>CH58+CG59</f>
        <v/>
      </c>
      <c r="CI59" s="148" t="n"/>
      <c r="CJ59" s="148" t="n"/>
    </row>
    <row r="60" ht="15" customHeight="1" s="83">
      <c r="A60" s="148" t="n"/>
      <c r="B60" s="158" t="n">
        <v>56</v>
      </c>
      <c r="C60" s="152">
        <f>F60+J60+N60+R60+V60+Z60+AD60+AH60+AL60+AP60+AT60+AX60+BB60+BF60+BJ60+BN60+BR60+BV60+BZ60+CD60</f>
        <v/>
      </c>
      <c r="D60" s="152">
        <f>G59</f>
        <v/>
      </c>
      <c r="E60" s="159">
        <f>IF(D60&gt;0.005,D60*Debts!D8/12,0)</f>
        <v/>
      </c>
      <c r="F60" s="159" t="n">
        <v>0</v>
      </c>
      <c r="G60" s="152">
        <f>MAX(0,D60+E60-F60)</f>
        <v/>
      </c>
      <c r="H60" s="152">
        <f>K59</f>
        <v/>
      </c>
      <c r="I60" s="159">
        <f>IF(H60&gt;0.005,H60*Debts!D9/12,0)</f>
        <v/>
      </c>
      <c r="J60" s="159" t="n">
        <v>0</v>
      </c>
      <c r="K60" s="152">
        <f>MAX(0,H60+I60-J60)</f>
        <v/>
      </c>
      <c r="L60" s="152">
        <f>O59</f>
        <v/>
      </c>
      <c r="M60" s="159">
        <f>IF(L60&gt;0.005,L60*Debts!D10/12,0)</f>
        <v/>
      </c>
      <c r="N60" s="159" t="n">
        <v>0</v>
      </c>
      <c r="O60" s="152">
        <f>MAX(0,L60+M60-N60)</f>
        <v/>
      </c>
      <c r="P60" s="152">
        <f>S59</f>
        <v/>
      </c>
      <c r="Q60" s="159">
        <f>IF(P60&gt;0.005,P60*Debts!D11/12,0)</f>
        <v/>
      </c>
      <c r="R60" s="159" t="n">
        <v>0</v>
      </c>
      <c r="S60" s="152">
        <f>MAX(0,P60+Q60-R60)</f>
        <v/>
      </c>
      <c r="T60" s="152">
        <f>W59</f>
        <v/>
      </c>
      <c r="U60" s="159">
        <f>IF(T60&gt;0.005,T60*Debts!D12/12,0)</f>
        <v/>
      </c>
      <c r="V60" s="159" t="n">
        <v>0</v>
      </c>
      <c r="W60" s="152">
        <f>MAX(0,T60+U60-V60)</f>
        <v/>
      </c>
      <c r="X60" s="152">
        <f>AA59</f>
        <v/>
      </c>
      <c r="Y60" s="159">
        <f>IF(X60&gt;0.005,X60*Debts!D13/12,0)</f>
        <v/>
      </c>
      <c r="Z60" s="159" t="n">
        <v>0</v>
      </c>
      <c r="AA60" s="152">
        <f>MAX(0,X60+Y60-Z60)</f>
        <v/>
      </c>
      <c r="AB60" s="152">
        <f>AE59</f>
        <v/>
      </c>
      <c r="AC60" s="159">
        <f>IF(AB60&gt;0.005,AB60*Debts!D14/12,0)</f>
        <v/>
      </c>
      <c r="AD60" s="159" t="n">
        <v>0</v>
      </c>
      <c r="AE60" s="152">
        <f>MAX(0,AB60+AC60-AD60)</f>
        <v/>
      </c>
      <c r="AF60" s="152">
        <f>AI59</f>
        <v/>
      </c>
      <c r="AG60" s="159">
        <f>IF(AF60&gt;0.005,AF60*Debts!D15/12,0)</f>
        <v/>
      </c>
      <c r="AH60" s="159" t="n">
        <v>0</v>
      </c>
      <c r="AI60" s="152">
        <f>MAX(0,AF60+AG60-AH60)</f>
        <v/>
      </c>
      <c r="AJ60" s="152">
        <f>AM59</f>
        <v/>
      </c>
      <c r="AK60" s="159">
        <f>IF(AJ60&gt;0.005,AJ60*Debts!D16/12,0)</f>
        <v/>
      </c>
      <c r="AL60" s="159" t="n">
        <v>0</v>
      </c>
      <c r="AM60" s="152">
        <f>MAX(0,AJ60+AK60-AL60)</f>
        <v/>
      </c>
      <c r="AN60" s="152">
        <f>AQ59</f>
        <v/>
      </c>
      <c r="AO60" s="159">
        <f>IF(AN60&gt;0.005,AN60*Debts!D17/12,0)</f>
        <v/>
      </c>
      <c r="AP60" s="159" t="n">
        <v>0</v>
      </c>
      <c r="AQ60" s="152">
        <f>MAX(0,AN60+AO60-AP60)</f>
        <v/>
      </c>
      <c r="AR60" s="152">
        <f>AU59</f>
        <v/>
      </c>
      <c r="AS60" s="159">
        <f>IF(AR60&gt;0.005,AR60*Debts!D18/12,0)</f>
        <v/>
      </c>
      <c r="AT60" s="159" t="n">
        <v>0</v>
      </c>
      <c r="AU60" s="152">
        <f>MAX(0,AR60+AS60-AT60)</f>
        <v/>
      </c>
      <c r="AV60" s="152">
        <f>AY59</f>
        <v/>
      </c>
      <c r="AW60" s="159">
        <f>IF(AV60&gt;0.005,AV60*Debts!D19/12,0)</f>
        <v/>
      </c>
      <c r="AX60" s="159" t="n">
        <v>0</v>
      </c>
      <c r="AY60" s="152">
        <f>MAX(0,AV60+AW60-AX60)</f>
        <v/>
      </c>
      <c r="AZ60" s="152">
        <f>BC59</f>
        <v/>
      </c>
      <c r="BA60" s="159">
        <f>IF(AZ60&gt;0.005,AZ60*Debts!D20/12,0)</f>
        <v/>
      </c>
      <c r="BB60" s="159" t="n">
        <v>0</v>
      </c>
      <c r="BC60" s="152">
        <f>MAX(0,AZ60+BA60-BB60)</f>
        <v/>
      </c>
      <c r="BD60" s="152">
        <f>BG59</f>
        <v/>
      </c>
      <c r="BE60" s="159">
        <f>IF(BD60&gt;0.005,BD60*Debts!D21/12,0)</f>
        <v/>
      </c>
      <c r="BF60" s="159" t="n">
        <v>0</v>
      </c>
      <c r="BG60" s="152">
        <f>MAX(0,BD60+BE60-BF60)</f>
        <v/>
      </c>
      <c r="BH60" s="152">
        <f>BK59</f>
        <v/>
      </c>
      <c r="BI60" s="159">
        <f>IF(BH60&gt;0.005,BH60*Debts!D22/12,0)</f>
        <v/>
      </c>
      <c r="BJ60" s="159" t="n">
        <v>0</v>
      </c>
      <c r="BK60" s="152">
        <f>MAX(0,BH60+BI60-BJ60)</f>
        <v/>
      </c>
      <c r="BL60" s="152">
        <f>BO59</f>
        <v/>
      </c>
      <c r="BM60" s="159">
        <f>IF(BL60&gt;0.005,BL60*Debts!D23/12,0)</f>
        <v/>
      </c>
      <c r="BN60" s="159" t="n">
        <v>0</v>
      </c>
      <c r="BO60" s="152">
        <f>MAX(0,BL60+BM60-BN60)</f>
        <v/>
      </c>
      <c r="BP60" s="152">
        <f>BS59</f>
        <v/>
      </c>
      <c r="BQ60" s="159">
        <f>IF(BP60&gt;0.005,BP60*Debts!D24/12,0)</f>
        <v/>
      </c>
      <c r="BR60" s="159" t="n">
        <v>0</v>
      </c>
      <c r="BS60" s="152">
        <f>MAX(0,BP60+BQ60-BR60)</f>
        <v/>
      </c>
      <c r="BT60" s="152">
        <f>BW59</f>
        <v/>
      </c>
      <c r="BU60" s="159">
        <f>IF(BT60&gt;0.005,BT60*Debts!D25/12,0)</f>
        <v/>
      </c>
      <c r="BV60" s="159" t="n">
        <v>0</v>
      </c>
      <c r="BW60" s="152">
        <f>MAX(0,BT60+BU60-BV60)</f>
        <v/>
      </c>
      <c r="BX60" s="152">
        <f>CA59</f>
        <v/>
      </c>
      <c r="BY60" s="159">
        <f>IF(BX60&gt;0.005,BX60*Debts!D26/12,0)</f>
        <v/>
      </c>
      <c r="BZ60" s="159" t="n">
        <v>0</v>
      </c>
      <c r="CA60" s="152">
        <f>MAX(0,BX60+BY60-BZ60)</f>
        <v/>
      </c>
      <c r="CB60" s="152">
        <f>CE59</f>
        <v/>
      </c>
      <c r="CC60" s="159">
        <f>IF(CB60&gt;0.005,CB60*Debts!D27/12,0)</f>
        <v/>
      </c>
      <c r="CD60" s="159" t="n">
        <v>0</v>
      </c>
      <c r="CE60" s="152">
        <f>MAX(0,CB60+CC60-CD60)</f>
        <v/>
      </c>
      <c r="CF60" s="152">
        <f>G60+K60+O60+S60+W60+AA60+AE60+AI60+AM60+AQ60+AU60+AY60+BC60+BG60+BK60+BO60+BS60+BW60+CA60+CE60</f>
        <v/>
      </c>
      <c r="CG60" s="159">
        <f>E60+I60+M60+Q60+U60+Y60+AC60+AG60+AK60+AO60+AS60+AW60+BA60+BE60+BI60+BM60+BQ60+BU60+BY60+CC60</f>
        <v/>
      </c>
      <c r="CH60" s="152">
        <f>CH59+CG60</f>
        <v/>
      </c>
      <c r="CI60" s="148" t="n"/>
      <c r="CJ60" s="148" t="n"/>
    </row>
    <row r="61" ht="15" customHeight="1" s="83">
      <c r="A61" s="148" t="n"/>
      <c r="B61" s="158" t="n">
        <v>57</v>
      </c>
      <c r="C61" s="152">
        <f>F61+J61+N61+R61+V61+Z61+AD61+AH61+AL61+AP61+AT61+AX61+BB61+BF61+BJ61+BN61+BR61+BV61+BZ61+CD61</f>
        <v/>
      </c>
      <c r="D61" s="152">
        <f>G60</f>
        <v/>
      </c>
      <c r="E61" s="159">
        <f>IF(D61&gt;0.005,D61*Debts!D8/12,0)</f>
        <v/>
      </c>
      <c r="F61" s="159" t="n">
        <v>0</v>
      </c>
      <c r="G61" s="152">
        <f>MAX(0,D61+E61-F61)</f>
        <v/>
      </c>
      <c r="H61" s="152">
        <f>K60</f>
        <v/>
      </c>
      <c r="I61" s="159">
        <f>IF(H61&gt;0.005,H61*Debts!D9/12,0)</f>
        <v/>
      </c>
      <c r="J61" s="159" t="n">
        <v>0</v>
      </c>
      <c r="K61" s="152">
        <f>MAX(0,H61+I61-J61)</f>
        <v/>
      </c>
      <c r="L61" s="152">
        <f>O60</f>
        <v/>
      </c>
      <c r="M61" s="159">
        <f>IF(L61&gt;0.005,L61*Debts!D10/12,0)</f>
        <v/>
      </c>
      <c r="N61" s="159" t="n">
        <v>0</v>
      </c>
      <c r="O61" s="152">
        <f>MAX(0,L61+M61-N61)</f>
        <v/>
      </c>
      <c r="P61" s="152">
        <f>S60</f>
        <v/>
      </c>
      <c r="Q61" s="159">
        <f>IF(P61&gt;0.005,P61*Debts!D11/12,0)</f>
        <v/>
      </c>
      <c r="R61" s="159" t="n">
        <v>0</v>
      </c>
      <c r="S61" s="152">
        <f>MAX(0,P61+Q61-R61)</f>
        <v/>
      </c>
      <c r="T61" s="152">
        <f>W60</f>
        <v/>
      </c>
      <c r="U61" s="159">
        <f>IF(T61&gt;0.005,T61*Debts!D12/12,0)</f>
        <v/>
      </c>
      <c r="V61" s="159" t="n">
        <v>0</v>
      </c>
      <c r="W61" s="152">
        <f>MAX(0,T61+U61-V61)</f>
        <v/>
      </c>
      <c r="X61" s="152">
        <f>AA60</f>
        <v/>
      </c>
      <c r="Y61" s="159">
        <f>IF(X61&gt;0.005,X61*Debts!D13/12,0)</f>
        <v/>
      </c>
      <c r="Z61" s="159" t="n">
        <v>0</v>
      </c>
      <c r="AA61" s="152">
        <f>MAX(0,X61+Y61-Z61)</f>
        <v/>
      </c>
      <c r="AB61" s="152">
        <f>AE60</f>
        <v/>
      </c>
      <c r="AC61" s="159">
        <f>IF(AB61&gt;0.005,AB61*Debts!D14/12,0)</f>
        <v/>
      </c>
      <c r="AD61" s="159" t="n">
        <v>0</v>
      </c>
      <c r="AE61" s="152">
        <f>MAX(0,AB61+AC61-AD61)</f>
        <v/>
      </c>
      <c r="AF61" s="152">
        <f>AI60</f>
        <v/>
      </c>
      <c r="AG61" s="159">
        <f>IF(AF61&gt;0.005,AF61*Debts!D15/12,0)</f>
        <v/>
      </c>
      <c r="AH61" s="159" t="n">
        <v>0</v>
      </c>
      <c r="AI61" s="152">
        <f>MAX(0,AF61+AG61-AH61)</f>
        <v/>
      </c>
      <c r="AJ61" s="152">
        <f>AM60</f>
        <v/>
      </c>
      <c r="AK61" s="159">
        <f>IF(AJ61&gt;0.005,AJ61*Debts!D16/12,0)</f>
        <v/>
      </c>
      <c r="AL61" s="159" t="n">
        <v>0</v>
      </c>
      <c r="AM61" s="152">
        <f>MAX(0,AJ61+AK61-AL61)</f>
        <v/>
      </c>
      <c r="AN61" s="152">
        <f>AQ60</f>
        <v/>
      </c>
      <c r="AO61" s="159">
        <f>IF(AN61&gt;0.005,AN61*Debts!D17/12,0)</f>
        <v/>
      </c>
      <c r="AP61" s="159" t="n">
        <v>0</v>
      </c>
      <c r="AQ61" s="152">
        <f>MAX(0,AN61+AO61-AP61)</f>
        <v/>
      </c>
      <c r="AR61" s="152">
        <f>AU60</f>
        <v/>
      </c>
      <c r="AS61" s="159">
        <f>IF(AR61&gt;0.005,AR61*Debts!D18/12,0)</f>
        <v/>
      </c>
      <c r="AT61" s="159" t="n">
        <v>0</v>
      </c>
      <c r="AU61" s="152">
        <f>MAX(0,AR61+AS61-AT61)</f>
        <v/>
      </c>
      <c r="AV61" s="152">
        <f>AY60</f>
        <v/>
      </c>
      <c r="AW61" s="159">
        <f>IF(AV61&gt;0.005,AV61*Debts!D19/12,0)</f>
        <v/>
      </c>
      <c r="AX61" s="159" t="n">
        <v>0</v>
      </c>
      <c r="AY61" s="152">
        <f>MAX(0,AV61+AW61-AX61)</f>
        <v/>
      </c>
      <c r="AZ61" s="152">
        <f>BC60</f>
        <v/>
      </c>
      <c r="BA61" s="159">
        <f>IF(AZ61&gt;0.005,AZ61*Debts!D20/12,0)</f>
        <v/>
      </c>
      <c r="BB61" s="159" t="n">
        <v>0</v>
      </c>
      <c r="BC61" s="152">
        <f>MAX(0,AZ61+BA61-BB61)</f>
        <v/>
      </c>
      <c r="BD61" s="152">
        <f>BG60</f>
        <v/>
      </c>
      <c r="BE61" s="159">
        <f>IF(BD61&gt;0.005,BD61*Debts!D21/12,0)</f>
        <v/>
      </c>
      <c r="BF61" s="159" t="n">
        <v>0</v>
      </c>
      <c r="BG61" s="152">
        <f>MAX(0,BD61+BE61-BF61)</f>
        <v/>
      </c>
      <c r="BH61" s="152">
        <f>BK60</f>
        <v/>
      </c>
      <c r="BI61" s="159">
        <f>IF(BH61&gt;0.005,BH61*Debts!D22/12,0)</f>
        <v/>
      </c>
      <c r="BJ61" s="159" t="n">
        <v>0</v>
      </c>
      <c r="BK61" s="152">
        <f>MAX(0,BH61+BI61-BJ61)</f>
        <v/>
      </c>
      <c r="BL61" s="152">
        <f>BO60</f>
        <v/>
      </c>
      <c r="BM61" s="159">
        <f>IF(BL61&gt;0.005,BL61*Debts!D23/12,0)</f>
        <v/>
      </c>
      <c r="BN61" s="159" t="n">
        <v>0</v>
      </c>
      <c r="BO61" s="152">
        <f>MAX(0,BL61+BM61-BN61)</f>
        <v/>
      </c>
      <c r="BP61" s="152">
        <f>BS60</f>
        <v/>
      </c>
      <c r="BQ61" s="159">
        <f>IF(BP61&gt;0.005,BP61*Debts!D24/12,0)</f>
        <v/>
      </c>
      <c r="BR61" s="159" t="n">
        <v>0</v>
      </c>
      <c r="BS61" s="152">
        <f>MAX(0,BP61+BQ61-BR61)</f>
        <v/>
      </c>
      <c r="BT61" s="152">
        <f>BW60</f>
        <v/>
      </c>
      <c r="BU61" s="159">
        <f>IF(BT61&gt;0.005,BT61*Debts!D25/12,0)</f>
        <v/>
      </c>
      <c r="BV61" s="159" t="n">
        <v>0</v>
      </c>
      <c r="BW61" s="152">
        <f>MAX(0,BT61+BU61-BV61)</f>
        <v/>
      </c>
      <c r="BX61" s="152">
        <f>CA60</f>
        <v/>
      </c>
      <c r="BY61" s="159">
        <f>IF(BX61&gt;0.005,BX61*Debts!D26/12,0)</f>
        <v/>
      </c>
      <c r="BZ61" s="159" t="n">
        <v>0</v>
      </c>
      <c r="CA61" s="152">
        <f>MAX(0,BX61+BY61-BZ61)</f>
        <v/>
      </c>
      <c r="CB61" s="152">
        <f>CE60</f>
        <v/>
      </c>
      <c r="CC61" s="159">
        <f>IF(CB61&gt;0.005,CB61*Debts!D27/12,0)</f>
        <v/>
      </c>
      <c r="CD61" s="159" t="n">
        <v>0</v>
      </c>
      <c r="CE61" s="152">
        <f>MAX(0,CB61+CC61-CD61)</f>
        <v/>
      </c>
      <c r="CF61" s="152">
        <f>G61+K61+O61+S61+W61+AA61+AE61+AI61+AM61+AQ61+AU61+AY61+BC61+BG61+BK61+BO61+BS61+BW61+CA61+CE61</f>
        <v/>
      </c>
      <c r="CG61" s="159">
        <f>E61+I61+M61+Q61+U61+Y61+AC61+AG61+AK61+AO61+AS61+AW61+BA61+BE61+BI61+BM61+BQ61+BU61+BY61+CC61</f>
        <v/>
      </c>
      <c r="CH61" s="152">
        <f>CH60+CG61</f>
        <v/>
      </c>
      <c r="CI61" s="148" t="n"/>
      <c r="CJ61" s="148" t="n"/>
    </row>
    <row r="62" ht="15" customHeight="1" s="83">
      <c r="A62" s="148" t="n"/>
      <c r="B62" s="158" t="n">
        <v>58</v>
      </c>
      <c r="C62" s="152">
        <f>F62+J62+N62+R62+V62+Z62+AD62+AH62+AL62+AP62+AT62+AX62+BB62+BF62+BJ62+BN62+BR62+BV62+BZ62+CD62</f>
        <v/>
      </c>
      <c r="D62" s="152">
        <f>G61</f>
        <v/>
      </c>
      <c r="E62" s="159">
        <f>IF(D62&gt;0.005,D62*Debts!D8/12,0)</f>
        <v/>
      </c>
      <c r="F62" s="159" t="n">
        <v>0</v>
      </c>
      <c r="G62" s="152">
        <f>MAX(0,D62+E62-F62)</f>
        <v/>
      </c>
      <c r="H62" s="152">
        <f>K61</f>
        <v/>
      </c>
      <c r="I62" s="159">
        <f>IF(H62&gt;0.005,H62*Debts!D9/12,0)</f>
        <v/>
      </c>
      <c r="J62" s="159" t="n">
        <v>0</v>
      </c>
      <c r="K62" s="152">
        <f>MAX(0,H62+I62-J62)</f>
        <v/>
      </c>
      <c r="L62" s="152">
        <f>O61</f>
        <v/>
      </c>
      <c r="M62" s="159">
        <f>IF(L62&gt;0.005,L62*Debts!D10/12,0)</f>
        <v/>
      </c>
      <c r="N62" s="159" t="n">
        <v>0</v>
      </c>
      <c r="O62" s="152">
        <f>MAX(0,L62+M62-N62)</f>
        <v/>
      </c>
      <c r="P62" s="152">
        <f>S61</f>
        <v/>
      </c>
      <c r="Q62" s="159">
        <f>IF(P62&gt;0.005,P62*Debts!D11/12,0)</f>
        <v/>
      </c>
      <c r="R62" s="159" t="n">
        <v>0</v>
      </c>
      <c r="S62" s="152">
        <f>MAX(0,P62+Q62-R62)</f>
        <v/>
      </c>
      <c r="T62" s="152">
        <f>W61</f>
        <v/>
      </c>
      <c r="U62" s="159">
        <f>IF(T62&gt;0.005,T62*Debts!D12/12,0)</f>
        <v/>
      </c>
      <c r="V62" s="159" t="n">
        <v>0</v>
      </c>
      <c r="W62" s="152">
        <f>MAX(0,T62+U62-V62)</f>
        <v/>
      </c>
      <c r="X62" s="152">
        <f>AA61</f>
        <v/>
      </c>
      <c r="Y62" s="159">
        <f>IF(X62&gt;0.005,X62*Debts!D13/12,0)</f>
        <v/>
      </c>
      <c r="Z62" s="159" t="n">
        <v>0</v>
      </c>
      <c r="AA62" s="152">
        <f>MAX(0,X62+Y62-Z62)</f>
        <v/>
      </c>
      <c r="AB62" s="152">
        <f>AE61</f>
        <v/>
      </c>
      <c r="AC62" s="159">
        <f>IF(AB62&gt;0.005,AB62*Debts!D14/12,0)</f>
        <v/>
      </c>
      <c r="AD62" s="159" t="n">
        <v>0</v>
      </c>
      <c r="AE62" s="152">
        <f>MAX(0,AB62+AC62-AD62)</f>
        <v/>
      </c>
      <c r="AF62" s="152">
        <f>AI61</f>
        <v/>
      </c>
      <c r="AG62" s="159">
        <f>IF(AF62&gt;0.005,AF62*Debts!D15/12,0)</f>
        <v/>
      </c>
      <c r="AH62" s="159" t="n">
        <v>0</v>
      </c>
      <c r="AI62" s="152">
        <f>MAX(0,AF62+AG62-AH62)</f>
        <v/>
      </c>
      <c r="AJ62" s="152">
        <f>AM61</f>
        <v/>
      </c>
      <c r="AK62" s="159">
        <f>IF(AJ62&gt;0.005,AJ62*Debts!D16/12,0)</f>
        <v/>
      </c>
      <c r="AL62" s="159" t="n">
        <v>0</v>
      </c>
      <c r="AM62" s="152">
        <f>MAX(0,AJ62+AK62-AL62)</f>
        <v/>
      </c>
      <c r="AN62" s="152">
        <f>AQ61</f>
        <v/>
      </c>
      <c r="AO62" s="159">
        <f>IF(AN62&gt;0.005,AN62*Debts!D17/12,0)</f>
        <v/>
      </c>
      <c r="AP62" s="159" t="n">
        <v>0</v>
      </c>
      <c r="AQ62" s="152">
        <f>MAX(0,AN62+AO62-AP62)</f>
        <v/>
      </c>
      <c r="AR62" s="152">
        <f>AU61</f>
        <v/>
      </c>
      <c r="AS62" s="159">
        <f>IF(AR62&gt;0.005,AR62*Debts!D18/12,0)</f>
        <v/>
      </c>
      <c r="AT62" s="159" t="n">
        <v>0</v>
      </c>
      <c r="AU62" s="152">
        <f>MAX(0,AR62+AS62-AT62)</f>
        <v/>
      </c>
      <c r="AV62" s="152">
        <f>AY61</f>
        <v/>
      </c>
      <c r="AW62" s="159">
        <f>IF(AV62&gt;0.005,AV62*Debts!D19/12,0)</f>
        <v/>
      </c>
      <c r="AX62" s="159" t="n">
        <v>0</v>
      </c>
      <c r="AY62" s="152">
        <f>MAX(0,AV62+AW62-AX62)</f>
        <v/>
      </c>
      <c r="AZ62" s="152">
        <f>BC61</f>
        <v/>
      </c>
      <c r="BA62" s="159">
        <f>IF(AZ62&gt;0.005,AZ62*Debts!D20/12,0)</f>
        <v/>
      </c>
      <c r="BB62" s="159" t="n">
        <v>0</v>
      </c>
      <c r="BC62" s="152">
        <f>MAX(0,AZ62+BA62-BB62)</f>
        <v/>
      </c>
      <c r="BD62" s="152">
        <f>BG61</f>
        <v/>
      </c>
      <c r="BE62" s="159">
        <f>IF(BD62&gt;0.005,BD62*Debts!D21/12,0)</f>
        <v/>
      </c>
      <c r="BF62" s="159" t="n">
        <v>0</v>
      </c>
      <c r="BG62" s="152">
        <f>MAX(0,BD62+BE62-BF62)</f>
        <v/>
      </c>
      <c r="BH62" s="152">
        <f>BK61</f>
        <v/>
      </c>
      <c r="BI62" s="159">
        <f>IF(BH62&gt;0.005,BH62*Debts!D22/12,0)</f>
        <v/>
      </c>
      <c r="BJ62" s="159" t="n">
        <v>0</v>
      </c>
      <c r="BK62" s="152">
        <f>MAX(0,BH62+BI62-BJ62)</f>
        <v/>
      </c>
      <c r="BL62" s="152">
        <f>BO61</f>
        <v/>
      </c>
      <c r="BM62" s="159">
        <f>IF(BL62&gt;0.005,BL62*Debts!D23/12,0)</f>
        <v/>
      </c>
      <c r="BN62" s="159" t="n">
        <v>0</v>
      </c>
      <c r="BO62" s="152">
        <f>MAX(0,BL62+BM62-BN62)</f>
        <v/>
      </c>
      <c r="BP62" s="152">
        <f>BS61</f>
        <v/>
      </c>
      <c r="BQ62" s="159">
        <f>IF(BP62&gt;0.005,BP62*Debts!D24/12,0)</f>
        <v/>
      </c>
      <c r="BR62" s="159" t="n">
        <v>0</v>
      </c>
      <c r="BS62" s="152">
        <f>MAX(0,BP62+BQ62-BR62)</f>
        <v/>
      </c>
      <c r="BT62" s="152">
        <f>BW61</f>
        <v/>
      </c>
      <c r="BU62" s="159">
        <f>IF(BT62&gt;0.005,BT62*Debts!D25/12,0)</f>
        <v/>
      </c>
      <c r="BV62" s="159" t="n">
        <v>0</v>
      </c>
      <c r="BW62" s="152">
        <f>MAX(0,BT62+BU62-BV62)</f>
        <v/>
      </c>
      <c r="BX62" s="152">
        <f>CA61</f>
        <v/>
      </c>
      <c r="BY62" s="159">
        <f>IF(BX62&gt;0.005,BX62*Debts!D26/12,0)</f>
        <v/>
      </c>
      <c r="BZ62" s="159" t="n">
        <v>0</v>
      </c>
      <c r="CA62" s="152">
        <f>MAX(0,BX62+BY62-BZ62)</f>
        <v/>
      </c>
      <c r="CB62" s="152">
        <f>CE61</f>
        <v/>
      </c>
      <c r="CC62" s="159">
        <f>IF(CB62&gt;0.005,CB62*Debts!D27/12,0)</f>
        <v/>
      </c>
      <c r="CD62" s="159" t="n">
        <v>0</v>
      </c>
      <c r="CE62" s="152">
        <f>MAX(0,CB62+CC62-CD62)</f>
        <v/>
      </c>
      <c r="CF62" s="152">
        <f>G62+K62+O62+S62+W62+AA62+AE62+AI62+AM62+AQ62+AU62+AY62+BC62+BG62+BK62+BO62+BS62+BW62+CA62+CE62</f>
        <v/>
      </c>
      <c r="CG62" s="159">
        <f>E62+I62+M62+Q62+U62+Y62+AC62+AG62+AK62+AO62+AS62+AW62+BA62+BE62+BI62+BM62+BQ62+BU62+BY62+CC62</f>
        <v/>
      </c>
      <c r="CH62" s="152">
        <f>CH61+CG62</f>
        <v/>
      </c>
      <c r="CI62" s="148" t="n"/>
      <c r="CJ62" s="148" t="n"/>
    </row>
    <row r="63" ht="15" customHeight="1" s="83">
      <c r="A63" s="148" t="n"/>
      <c r="B63" s="158" t="n">
        <v>59</v>
      </c>
      <c r="C63" s="152">
        <f>F63+J63+N63+R63+V63+Z63+AD63+AH63+AL63+AP63+AT63+AX63+BB63+BF63+BJ63+BN63+BR63+BV63+BZ63+CD63</f>
        <v/>
      </c>
      <c r="D63" s="152">
        <f>G62</f>
        <v/>
      </c>
      <c r="E63" s="159">
        <f>IF(D63&gt;0.005,D63*Debts!D8/12,0)</f>
        <v/>
      </c>
      <c r="F63" s="159" t="n">
        <v>0</v>
      </c>
      <c r="G63" s="152">
        <f>MAX(0,D63+E63-F63)</f>
        <v/>
      </c>
      <c r="H63" s="152">
        <f>K62</f>
        <v/>
      </c>
      <c r="I63" s="159">
        <f>IF(H63&gt;0.005,H63*Debts!D9/12,0)</f>
        <v/>
      </c>
      <c r="J63" s="159" t="n">
        <v>0</v>
      </c>
      <c r="K63" s="152">
        <f>MAX(0,H63+I63-J63)</f>
        <v/>
      </c>
      <c r="L63" s="152">
        <f>O62</f>
        <v/>
      </c>
      <c r="M63" s="159">
        <f>IF(L63&gt;0.005,L63*Debts!D10/12,0)</f>
        <v/>
      </c>
      <c r="N63" s="159" t="n">
        <v>0</v>
      </c>
      <c r="O63" s="152">
        <f>MAX(0,L63+M63-N63)</f>
        <v/>
      </c>
      <c r="P63" s="152">
        <f>S62</f>
        <v/>
      </c>
      <c r="Q63" s="159">
        <f>IF(P63&gt;0.005,P63*Debts!D11/12,0)</f>
        <v/>
      </c>
      <c r="R63" s="159" t="n">
        <v>0</v>
      </c>
      <c r="S63" s="152">
        <f>MAX(0,P63+Q63-R63)</f>
        <v/>
      </c>
      <c r="T63" s="152">
        <f>W62</f>
        <v/>
      </c>
      <c r="U63" s="159">
        <f>IF(T63&gt;0.005,T63*Debts!D12/12,0)</f>
        <v/>
      </c>
      <c r="V63" s="159" t="n">
        <v>0</v>
      </c>
      <c r="W63" s="152">
        <f>MAX(0,T63+U63-V63)</f>
        <v/>
      </c>
      <c r="X63" s="152">
        <f>AA62</f>
        <v/>
      </c>
      <c r="Y63" s="159">
        <f>IF(X63&gt;0.005,X63*Debts!D13/12,0)</f>
        <v/>
      </c>
      <c r="Z63" s="159" t="n">
        <v>0</v>
      </c>
      <c r="AA63" s="152">
        <f>MAX(0,X63+Y63-Z63)</f>
        <v/>
      </c>
      <c r="AB63" s="152">
        <f>AE62</f>
        <v/>
      </c>
      <c r="AC63" s="159">
        <f>IF(AB63&gt;0.005,AB63*Debts!D14/12,0)</f>
        <v/>
      </c>
      <c r="AD63" s="159" t="n">
        <v>0</v>
      </c>
      <c r="AE63" s="152">
        <f>MAX(0,AB63+AC63-AD63)</f>
        <v/>
      </c>
      <c r="AF63" s="152">
        <f>AI62</f>
        <v/>
      </c>
      <c r="AG63" s="159">
        <f>IF(AF63&gt;0.005,AF63*Debts!D15/12,0)</f>
        <v/>
      </c>
      <c r="AH63" s="159" t="n">
        <v>0</v>
      </c>
      <c r="AI63" s="152">
        <f>MAX(0,AF63+AG63-AH63)</f>
        <v/>
      </c>
      <c r="AJ63" s="152">
        <f>AM62</f>
        <v/>
      </c>
      <c r="AK63" s="159">
        <f>IF(AJ63&gt;0.005,AJ63*Debts!D16/12,0)</f>
        <v/>
      </c>
      <c r="AL63" s="159" t="n">
        <v>0</v>
      </c>
      <c r="AM63" s="152">
        <f>MAX(0,AJ63+AK63-AL63)</f>
        <v/>
      </c>
      <c r="AN63" s="152">
        <f>AQ62</f>
        <v/>
      </c>
      <c r="AO63" s="159">
        <f>IF(AN63&gt;0.005,AN63*Debts!D17/12,0)</f>
        <v/>
      </c>
      <c r="AP63" s="159" t="n">
        <v>0</v>
      </c>
      <c r="AQ63" s="152">
        <f>MAX(0,AN63+AO63-AP63)</f>
        <v/>
      </c>
      <c r="AR63" s="152">
        <f>AU62</f>
        <v/>
      </c>
      <c r="AS63" s="159">
        <f>IF(AR63&gt;0.005,AR63*Debts!D18/12,0)</f>
        <v/>
      </c>
      <c r="AT63" s="159" t="n">
        <v>0</v>
      </c>
      <c r="AU63" s="152">
        <f>MAX(0,AR63+AS63-AT63)</f>
        <v/>
      </c>
      <c r="AV63" s="152">
        <f>AY62</f>
        <v/>
      </c>
      <c r="AW63" s="159">
        <f>IF(AV63&gt;0.005,AV63*Debts!D19/12,0)</f>
        <v/>
      </c>
      <c r="AX63" s="159" t="n">
        <v>0</v>
      </c>
      <c r="AY63" s="152">
        <f>MAX(0,AV63+AW63-AX63)</f>
        <v/>
      </c>
      <c r="AZ63" s="152">
        <f>BC62</f>
        <v/>
      </c>
      <c r="BA63" s="159">
        <f>IF(AZ63&gt;0.005,AZ63*Debts!D20/12,0)</f>
        <v/>
      </c>
      <c r="BB63" s="159" t="n">
        <v>0</v>
      </c>
      <c r="BC63" s="152">
        <f>MAX(0,AZ63+BA63-BB63)</f>
        <v/>
      </c>
      <c r="BD63" s="152">
        <f>BG62</f>
        <v/>
      </c>
      <c r="BE63" s="159">
        <f>IF(BD63&gt;0.005,BD63*Debts!D21/12,0)</f>
        <v/>
      </c>
      <c r="BF63" s="159" t="n">
        <v>0</v>
      </c>
      <c r="BG63" s="152">
        <f>MAX(0,BD63+BE63-BF63)</f>
        <v/>
      </c>
      <c r="BH63" s="152">
        <f>BK62</f>
        <v/>
      </c>
      <c r="BI63" s="159">
        <f>IF(BH63&gt;0.005,BH63*Debts!D22/12,0)</f>
        <v/>
      </c>
      <c r="BJ63" s="159" t="n">
        <v>0</v>
      </c>
      <c r="BK63" s="152">
        <f>MAX(0,BH63+BI63-BJ63)</f>
        <v/>
      </c>
      <c r="BL63" s="152">
        <f>BO62</f>
        <v/>
      </c>
      <c r="BM63" s="159">
        <f>IF(BL63&gt;0.005,BL63*Debts!D23/12,0)</f>
        <v/>
      </c>
      <c r="BN63" s="159" t="n">
        <v>0</v>
      </c>
      <c r="BO63" s="152">
        <f>MAX(0,BL63+BM63-BN63)</f>
        <v/>
      </c>
      <c r="BP63" s="152">
        <f>BS62</f>
        <v/>
      </c>
      <c r="BQ63" s="159">
        <f>IF(BP63&gt;0.005,BP63*Debts!D24/12,0)</f>
        <v/>
      </c>
      <c r="BR63" s="159" t="n">
        <v>0</v>
      </c>
      <c r="BS63" s="152">
        <f>MAX(0,BP63+BQ63-BR63)</f>
        <v/>
      </c>
      <c r="BT63" s="152">
        <f>BW62</f>
        <v/>
      </c>
      <c r="BU63" s="159">
        <f>IF(BT63&gt;0.005,BT63*Debts!D25/12,0)</f>
        <v/>
      </c>
      <c r="BV63" s="159" t="n">
        <v>0</v>
      </c>
      <c r="BW63" s="152">
        <f>MAX(0,BT63+BU63-BV63)</f>
        <v/>
      </c>
      <c r="BX63" s="152">
        <f>CA62</f>
        <v/>
      </c>
      <c r="BY63" s="159">
        <f>IF(BX63&gt;0.005,BX63*Debts!D26/12,0)</f>
        <v/>
      </c>
      <c r="BZ63" s="159" t="n">
        <v>0</v>
      </c>
      <c r="CA63" s="152">
        <f>MAX(0,BX63+BY63-BZ63)</f>
        <v/>
      </c>
      <c r="CB63" s="152">
        <f>CE62</f>
        <v/>
      </c>
      <c r="CC63" s="159">
        <f>IF(CB63&gt;0.005,CB63*Debts!D27/12,0)</f>
        <v/>
      </c>
      <c r="CD63" s="159" t="n">
        <v>0</v>
      </c>
      <c r="CE63" s="152">
        <f>MAX(0,CB63+CC63-CD63)</f>
        <v/>
      </c>
      <c r="CF63" s="152">
        <f>G63+K63+O63+S63+W63+AA63+AE63+AI63+AM63+AQ63+AU63+AY63+BC63+BG63+BK63+BO63+BS63+BW63+CA63+CE63</f>
        <v/>
      </c>
      <c r="CG63" s="159">
        <f>E63+I63+M63+Q63+U63+Y63+AC63+AG63+AK63+AO63+AS63+AW63+BA63+BE63+BI63+BM63+BQ63+BU63+BY63+CC63</f>
        <v/>
      </c>
      <c r="CH63" s="152">
        <f>CH62+CG63</f>
        <v/>
      </c>
      <c r="CI63" s="148" t="n"/>
      <c r="CJ63" s="148" t="n"/>
    </row>
    <row r="64" ht="15" customHeight="1" s="83">
      <c r="A64" s="148" t="n"/>
      <c r="B64" s="158" t="n">
        <v>60</v>
      </c>
      <c r="C64" s="152">
        <f>F64+J64+N64+R64+V64+Z64+AD64+AH64+AL64+AP64+AT64+AX64+BB64+BF64+BJ64+BN64+BR64+BV64+BZ64+CD64</f>
        <v/>
      </c>
      <c r="D64" s="152">
        <f>G63</f>
        <v/>
      </c>
      <c r="E64" s="159">
        <f>IF(D64&gt;0.005,D64*Debts!D8/12,0)</f>
        <v/>
      </c>
      <c r="F64" s="159" t="n">
        <v>0</v>
      </c>
      <c r="G64" s="152">
        <f>MAX(0,D64+E64-F64)</f>
        <v/>
      </c>
      <c r="H64" s="152">
        <f>K63</f>
        <v/>
      </c>
      <c r="I64" s="159">
        <f>IF(H64&gt;0.005,H64*Debts!D9/12,0)</f>
        <v/>
      </c>
      <c r="J64" s="159" t="n">
        <v>0</v>
      </c>
      <c r="K64" s="152">
        <f>MAX(0,H64+I64-J64)</f>
        <v/>
      </c>
      <c r="L64" s="152">
        <f>O63</f>
        <v/>
      </c>
      <c r="M64" s="159">
        <f>IF(L64&gt;0.005,L64*Debts!D10/12,0)</f>
        <v/>
      </c>
      <c r="N64" s="159" t="n">
        <v>0</v>
      </c>
      <c r="O64" s="152">
        <f>MAX(0,L64+M64-N64)</f>
        <v/>
      </c>
      <c r="P64" s="152">
        <f>S63</f>
        <v/>
      </c>
      <c r="Q64" s="159">
        <f>IF(P64&gt;0.005,P64*Debts!D11/12,0)</f>
        <v/>
      </c>
      <c r="R64" s="159" t="n">
        <v>0</v>
      </c>
      <c r="S64" s="152">
        <f>MAX(0,P64+Q64-R64)</f>
        <v/>
      </c>
      <c r="T64" s="152">
        <f>W63</f>
        <v/>
      </c>
      <c r="U64" s="159">
        <f>IF(T64&gt;0.005,T64*Debts!D12/12,0)</f>
        <v/>
      </c>
      <c r="V64" s="159" t="n">
        <v>0</v>
      </c>
      <c r="W64" s="152">
        <f>MAX(0,T64+U64-V64)</f>
        <v/>
      </c>
      <c r="X64" s="152">
        <f>AA63</f>
        <v/>
      </c>
      <c r="Y64" s="159">
        <f>IF(X64&gt;0.005,X64*Debts!D13/12,0)</f>
        <v/>
      </c>
      <c r="Z64" s="159" t="n">
        <v>0</v>
      </c>
      <c r="AA64" s="152">
        <f>MAX(0,X64+Y64-Z64)</f>
        <v/>
      </c>
      <c r="AB64" s="152">
        <f>AE63</f>
        <v/>
      </c>
      <c r="AC64" s="159">
        <f>IF(AB64&gt;0.005,AB64*Debts!D14/12,0)</f>
        <v/>
      </c>
      <c r="AD64" s="159" t="n">
        <v>0</v>
      </c>
      <c r="AE64" s="152">
        <f>MAX(0,AB64+AC64-AD64)</f>
        <v/>
      </c>
      <c r="AF64" s="152">
        <f>AI63</f>
        <v/>
      </c>
      <c r="AG64" s="159">
        <f>IF(AF64&gt;0.005,AF64*Debts!D15/12,0)</f>
        <v/>
      </c>
      <c r="AH64" s="159" t="n">
        <v>0</v>
      </c>
      <c r="AI64" s="152">
        <f>MAX(0,AF64+AG64-AH64)</f>
        <v/>
      </c>
      <c r="AJ64" s="152">
        <f>AM63</f>
        <v/>
      </c>
      <c r="AK64" s="159">
        <f>IF(AJ64&gt;0.005,AJ64*Debts!D16/12,0)</f>
        <v/>
      </c>
      <c r="AL64" s="159" t="n">
        <v>0</v>
      </c>
      <c r="AM64" s="152">
        <f>MAX(0,AJ64+AK64-AL64)</f>
        <v/>
      </c>
      <c r="AN64" s="152">
        <f>AQ63</f>
        <v/>
      </c>
      <c r="AO64" s="159">
        <f>IF(AN64&gt;0.005,AN64*Debts!D17/12,0)</f>
        <v/>
      </c>
      <c r="AP64" s="159" t="n">
        <v>0</v>
      </c>
      <c r="AQ64" s="152">
        <f>MAX(0,AN64+AO64-AP64)</f>
        <v/>
      </c>
      <c r="AR64" s="152">
        <f>AU63</f>
        <v/>
      </c>
      <c r="AS64" s="159">
        <f>IF(AR64&gt;0.005,AR64*Debts!D18/12,0)</f>
        <v/>
      </c>
      <c r="AT64" s="159" t="n">
        <v>0</v>
      </c>
      <c r="AU64" s="152">
        <f>MAX(0,AR64+AS64-AT64)</f>
        <v/>
      </c>
      <c r="AV64" s="152">
        <f>AY63</f>
        <v/>
      </c>
      <c r="AW64" s="159">
        <f>IF(AV64&gt;0.005,AV64*Debts!D19/12,0)</f>
        <v/>
      </c>
      <c r="AX64" s="159" t="n">
        <v>0</v>
      </c>
      <c r="AY64" s="152">
        <f>MAX(0,AV64+AW64-AX64)</f>
        <v/>
      </c>
      <c r="AZ64" s="152">
        <f>BC63</f>
        <v/>
      </c>
      <c r="BA64" s="159">
        <f>IF(AZ64&gt;0.005,AZ64*Debts!D20/12,0)</f>
        <v/>
      </c>
      <c r="BB64" s="159" t="n">
        <v>0</v>
      </c>
      <c r="BC64" s="152">
        <f>MAX(0,AZ64+BA64-BB64)</f>
        <v/>
      </c>
      <c r="BD64" s="152">
        <f>BG63</f>
        <v/>
      </c>
      <c r="BE64" s="159">
        <f>IF(BD64&gt;0.005,BD64*Debts!D21/12,0)</f>
        <v/>
      </c>
      <c r="BF64" s="159" t="n">
        <v>0</v>
      </c>
      <c r="BG64" s="152">
        <f>MAX(0,BD64+BE64-BF64)</f>
        <v/>
      </c>
      <c r="BH64" s="152">
        <f>BK63</f>
        <v/>
      </c>
      <c r="BI64" s="159">
        <f>IF(BH64&gt;0.005,BH64*Debts!D22/12,0)</f>
        <v/>
      </c>
      <c r="BJ64" s="159" t="n">
        <v>0</v>
      </c>
      <c r="BK64" s="152">
        <f>MAX(0,BH64+BI64-BJ64)</f>
        <v/>
      </c>
      <c r="BL64" s="152">
        <f>BO63</f>
        <v/>
      </c>
      <c r="BM64" s="159">
        <f>IF(BL64&gt;0.005,BL64*Debts!D23/12,0)</f>
        <v/>
      </c>
      <c r="BN64" s="159" t="n">
        <v>0</v>
      </c>
      <c r="BO64" s="152">
        <f>MAX(0,BL64+BM64-BN64)</f>
        <v/>
      </c>
      <c r="BP64" s="152">
        <f>BS63</f>
        <v/>
      </c>
      <c r="BQ64" s="159">
        <f>IF(BP64&gt;0.005,BP64*Debts!D24/12,0)</f>
        <v/>
      </c>
      <c r="BR64" s="159" t="n">
        <v>0</v>
      </c>
      <c r="BS64" s="152">
        <f>MAX(0,BP64+BQ64-BR64)</f>
        <v/>
      </c>
      <c r="BT64" s="152">
        <f>BW63</f>
        <v/>
      </c>
      <c r="BU64" s="159">
        <f>IF(BT64&gt;0.005,BT64*Debts!D25/12,0)</f>
        <v/>
      </c>
      <c r="BV64" s="159" t="n">
        <v>0</v>
      </c>
      <c r="BW64" s="152">
        <f>MAX(0,BT64+BU64-BV64)</f>
        <v/>
      </c>
      <c r="BX64" s="152">
        <f>CA63</f>
        <v/>
      </c>
      <c r="BY64" s="159">
        <f>IF(BX64&gt;0.005,BX64*Debts!D26/12,0)</f>
        <v/>
      </c>
      <c r="BZ64" s="159" t="n">
        <v>0</v>
      </c>
      <c r="CA64" s="152">
        <f>MAX(0,BX64+BY64-BZ64)</f>
        <v/>
      </c>
      <c r="CB64" s="152">
        <f>CE63</f>
        <v/>
      </c>
      <c r="CC64" s="159">
        <f>IF(CB64&gt;0.005,CB64*Debts!D27/12,0)</f>
        <v/>
      </c>
      <c r="CD64" s="159" t="n">
        <v>0</v>
      </c>
      <c r="CE64" s="152">
        <f>MAX(0,CB64+CC64-CD64)</f>
        <v/>
      </c>
      <c r="CF64" s="152">
        <f>G64+K64+O64+S64+W64+AA64+AE64+AI64+AM64+AQ64+AU64+AY64+BC64+BG64+BK64+BO64+BS64+BW64+CA64+CE64</f>
        <v/>
      </c>
      <c r="CG64" s="159">
        <f>E64+I64+M64+Q64+U64+Y64+AC64+AG64+AK64+AO64+AS64+AW64+BA64+BE64+BI64+BM64+BQ64+BU64+BY64+CC64</f>
        <v/>
      </c>
      <c r="CH64" s="152">
        <f>CH63+CG64</f>
        <v/>
      </c>
      <c r="CI64" s="148" t="n"/>
      <c r="CJ64" s="148" t="n"/>
    </row>
    <row r="65" ht="15" customHeight="1" s="83">
      <c r="A65" s="148" t="n"/>
      <c r="B65" s="158" t="n">
        <v>61</v>
      </c>
      <c r="C65" s="152">
        <f>F65+J65+N65+R65+V65+Z65+AD65+AH65+AL65+AP65+AT65+AX65+BB65+BF65+BJ65+BN65+BR65+BV65+BZ65+CD65</f>
        <v/>
      </c>
      <c r="D65" s="152">
        <f>G64</f>
        <v/>
      </c>
      <c r="E65" s="159">
        <f>IF(D65&gt;0.005,D65*Debts!D8/12,0)</f>
        <v/>
      </c>
      <c r="F65" s="159" t="n">
        <v>0</v>
      </c>
      <c r="G65" s="152">
        <f>MAX(0,D65+E65-F65)</f>
        <v/>
      </c>
      <c r="H65" s="152">
        <f>K64</f>
        <v/>
      </c>
      <c r="I65" s="159">
        <f>IF(H65&gt;0.005,H65*Debts!D9/12,0)</f>
        <v/>
      </c>
      <c r="J65" s="159" t="n">
        <v>0</v>
      </c>
      <c r="K65" s="152">
        <f>MAX(0,H65+I65-J65)</f>
        <v/>
      </c>
      <c r="L65" s="152">
        <f>O64</f>
        <v/>
      </c>
      <c r="M65" s="159">
        <f>IF(L65&gt;0.005,L65*Debts!D10/12,0)</f>
        <v/>
      </c>
      <c r="N65" s="159" t="n">
        <v>0</v>
      </c>
      <c r="O65" s="152">
        <f>MAX(0,L65+M65-N65)</f>
        <v/>
      </c>
      <c r="P65" s="152">
        <f>S64</f>
        <v/>
      </c>
      <c r="Q65" s="159">
        <f>IF(P65&gt;0.005,P65*Debts!D11/12,0)</f>
        <v/>
      </c>
      <c r="R65" s="159" t="n">
        <v>0</v>
      </c>
      <c r="S65" s="152">
        <f>MAX(0,P65+Q65-R65)</f>
        <v/>
      </c>
      <c r="T65" s="152">
        <f>W64</f>
        <v/>
      </c>
      <c r="U65" s="159">
        <f>IF(T65&gt;0.005,T65*Debts!D12/12,0)</f>
        <v/>
      </c>
      <c r="V65" s="159" t="n">
        <v>0</v>
      </c>
      <c r="W65" s="152">
        <f>MAX(0,T65+U65-V65)</f>
        <v/>
      </c>
      <c r="X65" s="152">
        <f>AA64</f>
        <v/>
      </c>
      <c r="Y65" s="159">
        <f>IF(X65&gt;0.005,X65*Debts!D13/12,0)</f>
        <v/>
      </c>
      <c r="Z65" s="159" t="n">
        <v>0</v>
      </c>
      <c r="AA65" s="152">
        <f>MAX(0,X65+Y65-Z65)</f>
        <v/>
      </c>
      <c r="AB65" s="152">
        <f>AE64</f>
        <v/>
      </c>
      <c r="AC65" s="159">
        <f>IF(AB65&gt;0.005,AB65*Debts!D14/12,0)</f>
        <v/>
      </c>
      <c r="AD65" s="159" t="n">
        <v>0</v>
      </c>
      <c r="AE65" s="152">
        <f>MAX(0,AB65+AC65-AD65)</f>
        <v/>
      </c>
      <c r="AF65" s="152">
        <f>AI64</f>
        <v/>
      </c>
      <c r="AG65" s="159">
        <f>IF(AF65&gt;0.005,AF65*Debts!D15/12,0)</f>
        <v/>
      </c>
      <c r="AH65" s="159" t="n">
        <v>0</v>
      </c>
      <c r="AI65" s="152">
        <f>MAX(0,AF65+AG65-AH65)</f>
        <v/>
      </c>
      <c r="AJ65" s="152">
        <f>AM64</f>
        <v/>
      </c>
      <c r="AK65" s="159">
        <f>IF(AJ65&gt;0.005,AJ65*Debts!D16/12,0)</f>
        <v/>
      </c>
      <c r="AL65" s="159" t="n">
        <v>0</v>
      </c>
      <c r="AM65" s="152">
        <f>MAX(0,AJ65+AK65-AL65)</f>
        <v/>
      </c>
      <c r="AN65" s="152">
        <f>AQ64</f>
        <v/>
      </c>
      <c r="AO65" s="159">
        <f>IF(AN65&gt;0.005,AN65*Debts!D17/12,0)</f>
        <v/>
      </c>
      <c r="AP65" s="159" t="n">
        <v>0</v>
      </c>
      <c r="AQ65" s="152">
        <f>MAX(0,AN65+AO65-AP65)</f>
        <v/>
      </c>
      <c r="AR65" s="152">
        <f>AU64</f>
        <v/>
      </c>
      <c r="AS65" s="159">
        <f>IF(AR65&gt;0.005,AR65*Debts!D18/12,0)</f>
        <v/>
      </c>
      <c r="AT65" s="159" t="n">
        <v>0</v>
      </c>
      <c r="AU65" s="152">
        <f>MAX(0,AR65+AS65-AT65)</f>
        <v/>
      </c>
      <c r="AV65" s="152">
        <f>AY64</f>
        <v/>
      </c>
      <c r="AW65" s="159">
        <f>IF(AV65&gt;0.005,AV65*Debts!D19/12,0)</f>
        <v/>
      </c>
      <c r="AX65" s="159" t="n">
        <v>0</v>
      </c>
      <c r="AY65" s="152">
        <f>MAX(0,AV65+AW65-AX65)</f>
        <v/>
      </c>
      <c r="AZ65" s="152">
        <f>BC64</f>
        <v/>
      </c>
      <c r="BA65" s="159">
        <f>IF(AZ65&gt;0.005,AZ65*Debts!D20/12,0)</f>
        <v/>
      </c>
      <c r="BB65" s="159" t="n">
        <v>0</v>
      </c>
      <c r="BC65" s="152">
        <f>MAX(0,AZ65+BA65-BB65)</f>
        <v/>
      </c>
      <c r="BD65" s="152">
        <f>BG64</f>
        <v/>
      </c>
      <c r="BE65" s="159">
        <f>IF(BD65&gt;0.005,BD65*Debts!D21/12,0)</f>
        <v/>
      </c>
      <c r="BF65" s="159" t="n">
        <v>0</v>
      </c>
      <c r="BG65" s="152">
        <f>MAX(0,BD65+BE65-BF65)</f>
        <v/>
      </c>
      <c r="BH65" s="152">
        <f>BK64</f>
        <v/>
      </c>
      <c r="BI65" s="159">
        <f>IF(BH65&gt;0.005,BH65*Debts!D22/12,0)</f>
        <v/>
      </c>
      <c r="BJ65" s="159" t="n">
        <v>0</v>
      </c>
      <c r="BK65" s="152">
        <f>MAX(0,BH65+BI65-BJ65)</f>
        <v/>
      </c>
      <c r="BL65" s="152">
        <f>BO64</f>
        <v/>
      </c>
      <c r="BM65" s="159">
        <f>IF(BL65&gt;0.005,BL65*Debts!D23/12,0)</f>
        <v/>
      </c>
      <c r="BN65" s="159" t="n">
        <v>0</v>
      </c>
      <c r="BO65" s="152">
        <f>MAX(0,BL65+BM65-BN65)</f>
        <v/>
      </c>
      <c r="BP65" s="152">
        <f>BS64</f>
        <v/>
      </c>
      <c r="BQ65" s="159">
        <f>IF(BP65&gt;0.005,BP65*Debts!D24/12,0)</f>
        <v/>
      </c>
      <c r="BR65" s="159" t="n">
        <v>0</v>
      </c>
      <c r="BS65" s="152">
        <f>MAX(0,BP65+BQ65-BR65)</f>
        <v/>
      </c>
      <c r="BT65" s="152">
        <f>BW64</f>
        <v/>
      </c>
      <c r="BU65" s="159">
        <f>IF(BT65&gt;0.005,BT65*Debts!D25/12,0)</f>
        <v/>
      </c>
      <c r="BV65" s="159" t="n">
        <v>0</v>
      </c>
      <c r="BW65" s="152">
        <f>MAX(0,BT65+BU65-BV65)</f>
        <v/>
      </c>
      <c r="BX65" s="152">
        <f>CA64</f>
        <v/>
      </c>
      <c r="BY65" s="159">
        <f>IF(BX65&gt;0.005,BX65*Debts!D26/12,0)</f>
        <v/>
      </c>
      <c r="BZ65" s="159" t="n">
        <v>0</v>
      </c>
      <c r="CA65" s="152">
        <f>MAX(0,BX65+BY65-BZ65)</f>
        <v/>
      </c>
      <c r="CB65" s="152">
        <f>CE64</f>
        <v/>
      </c>
      <c r="CC65" s="159">
        <f>IF(CB65&gt;0.005,CB65*Debts!D27/12,0)</f>
        <v/>
      </c>
      <c r="CD65" s="159" t="n">
        <v>0</v>
      </c>
      <c r="CE65" s="152">
        <f>MAX(0,CB65+CC65-CD65)</f>
        <v/>
      </c>
      <c r="CF65" s="152">
        <f>G65+K65+O65+S65+W65+AA65+AE65+AI65+AM65+AQ65+AU65+AY65+BC65+BG65+BK65+BO65+BS65+BW65+CA65+CE65</f>
        <v/>
      </c>
      <c r="CG65" s="159">
        <f>E65+I65+M65+Q65+U65+Y65+AC65+AG65+AK65+AO65+AS65+AW65+BA65+BE65+BI65+BM65+BQ65+BU65+BY65+CC65</f>
        <v/>
      </c>
      <c r="CH65" s="152">
        <f>CH64+CG65</f>
        <v/>
      </c>
      <c r="CI65" s="148" t="n"/>
      <c r="CJ65" s="148" t="n"/>
    </row>
    <row r="66" ht="15" customHeight="1" s="83">
      <c r="A66" s="148" t="n"/>
      <c r="B66" s="158" t="n">
        <v>62</v>
      </c>
      <c r="C66" s="152">
        <f>F66+J66+N66+R66+V66+Z66+AD66+AH66+AL66+AP66+AT66+AX66+BB66+BF66+BJ66+BN66+BR66+BV66+BZ66+CD66</f>
        <v/>
      </c>
      <c r="D66" s="152">
        <f>G65</f>
        <v/>
      </c>
      <c r="E66" s="159">
        <f>IF(D66&gt;0.005,D66*Debts!D8/12,0)</f>
        <v/>
      </c>
      <c r="F66" s="159" t="n">
        <v>0</v>
      </c>
      <c r="G66" s="152">
        <f>MAX(0,D66+E66-F66)</f>
        <v/>
      </c>
      <c r="H66" s="152">
        <f>K65</f>
        <v/>
      </c>
      <c r="I66" s="159">
        <f>IF(H66&gt;0.005,H66*Debts!D9/12,0)</f>
        <v/>
      </c>
      <c r="J66" s="159" t="n">
        <v>0</v>
      </c>
      <c r="K66" s="152">
        <f>MAX(0,H66+I66-J66)</f>
        <v/>
      </c>
      <c r="L66" s="152">
        <f>O65</f>
        <v/>
      </c>
      <c r="M66" s="159">
        <f>IF(L66&gt;0.005,L66*Debts!D10/12,0)</f>
        <v/>
      </c>
      <c r="N66" s="159" t="n">
        <v>0</v>
      </c>
      <c r="O66" s="152">
        <f>MAX(0,L66+M66-N66)</f>
        <v/>
      </c>
      <c r="P66" s="152">
        <f>S65</f>
        <v/>
      </c>
      <c r="Q66" s="159">
        <f>IF(P66&gt;0.005,P66*Debts!D11/12,0)</f>
        <v/>
      </c>
      <c r="R66" s="159" t="n">
        <v>0</v>
      </c>
      <c r="S66" s="152">
        <f>MAX(0,P66+Q66-R66)</f>
        <v/>
      </c>
      <c r="T66" s="152">
        <f>W65</f>
        <v/>
      </c>
      <c r="U66" s="159">
        <f>IF(T66&gt;0.005,T66*Debts!D12/12,0)</f>
        <v/>
      </c>
      <c r="V66" s="159" t="n">
        <v>0</v>
      </c>
      <c r="W66" s="152">
        <f>MAX(0,T66+U66-V66)</f>
        <v/>
      </c>
      <c r="X66" s="152">
        <f>AA65</f>
        <v/>
      </c>
      <c r="Y66" s="159">
        <f>IF(X66&gt;0.005,X66*Debts!D13/12,0)</f>
        <v/>
      </c>
      <c r="Z66" s="159" t="n">
        <v>0</v>
      </c>
      <c r="AA66" s="152">
        <f>MAX(0,X66+Y66-Z66)</f>
        <v/>
      </c>
      <c r="AB66" s="152">
        <f>AE65</f>
        <v/>
      </c>
      <c r="AC66" s="159">
        <f>IF(AB66&gt;0.005,AB66*Debts!D14/12,0)</f>
        <v/>
      </c>
      <c r="AD66" s="159" t="n">
        <v>0</v>
      </c>
      <c r="AE66" s="152">
        <f>MAX(0,AB66+AC66-AD66)</f>
        <v/>
      </c>
      <c r="AF66" s="152">
        <f>AI65</f>
        <v/>
      </c>
      <c r="AG66" s="159">
        <f>IF(AF66&gt;0.005,AF66*Debts!D15/12,0)</f>
        <v/>
      </c>
      <c r="AH66" s="159" t="n">
        <v>0</v>
      </c>
      <c r="AI66" s="152">
        <f>MAX(0,AF66+AG66-AH66)</f>
        <v/>
      </c>
      <c r="AJ66" s="152">
        <f>AM65</f>
        <v/>
      </c>
      <c r="AK66" s="159">
        <f>IF(AJ66&gt;0.005,AJ66*Debts!D16/12,0)</f>
        <v/>
      </c>
      <c r="AL66" s="159" t="n">
        <v>0</v>
      </c>
      <c r="AM66" s="152">
        <f>MAX(0,AJ66+AK66-AL66)</f>
        <v/>
      </c>
      <c r="AN66" s="152">
        <f>AQ65</f>
        <v/>
      </c>
      <c r="AO66" s="159">
        <f>IF(AN66&gt;0.005,AN66*Debts!D17/12,0)</f>
        <v/>
      </c>
      <c r="AP66" s="159" t="n">
        <v>0</v>
      </c>
      <c r="AQ66" s="152">
        <f>MAX(0,AN66+AO66-AP66)</f>
        <v/>
      </c>
      <c r="AR66" s="152">
        <f>AU65</f>
        <v/>
      </c>
      <c r="AS66" s="159">
        <f>IF(AR66&gt;0.005,AR66*Debts!D18/12,0)</f>
        <v/>
      </c>
      <c r="AT66" s="159" t="n">
        <v>0</v>
      </c>
      <c r="AU66" s="152">
        <f>MAX(0,AR66+AS66-AT66)</f>
        <v/>
      </c>
      <c r="AV66" s="152">
        <f>AY65</f>
        <v/>
      </c>
      <c r="AW66" s="159">
        <f>IF(AV66&gt;0.005,AV66*Debts!D19/12,0)</f>
        <v/>
      </c>
      <c r="AX66" s="159" t="n">
        <v>0</v>
      </c>
      <c r="AY66" s="152">
        <f>MAX(0,AV66+AW66-AX66)</f>
        <v/>
      </c>
      <c r="AZ66" s="152">
        <f>BC65</f>
        <v/>
      </c>
      <c r="BA66" s="159">
        <f>IF(AZ66&gt;0.005,AZ66*Debts!D20/12,0)</f>
        <v/>
      </c>
      <c r="BB66" s="159" t="n">
        <v>0</v>
      </c>
      <c r="BC66" s="152">
        <f>MAX(0,AZ66+BA66-BB66)</f>
        <v/>
      </c>
      <c r="BD66" s="152">
        <f>BG65</f>
        <v/>
      </c>
      <c r="BE66" s="159">
        <f>IF(BD66&gt;0.005,BD66*Debts!D21/12,0)</f>
        <v/>
      </c>
      <c r="BF66" s="159" t="n">
        <v>0</v>
      </c>
      <c r="BG66" s="152">
        <f>MAX(0,BD66+BE66-BF66)</f>
        <v/>
      </c>
      <c r="BH66" s="152">
        <f>BK65</f>
        <v/>
      </c>
      <c r="BI66" s="159">
        <f>IF(BH66&gt;0.005,BH66*Debts!D22/12,0)</f>
        <v/>
      </c>
      <c r="BJ66" s="159" t="n">
        <v>0</v>
      </c>
      <c r="BK66" s="152">
        <f>MAX(0,BH66+BI66-BJ66)</f>
        <v/>
      </c>
      <c r="BL66" s="152">
        <f>BO65</f>
        <v/>
      </c>
      <c r="BM66" s="159">
        <f>IF(BL66&gt;0.005,BL66*Debts!D23/12,0)</f>
        <v/>
      </c>
      <c r="BN66" s="159" t="n">
        <v>0</v>
      </c>
      <c r="BO66" s="152">
        <f>MAX(0,BL66+BM66-BN66)</f>
        <v/>
      </c>
      <c r="BP66" s="152">
        <f>BS65</f>
        <v/>
      </c>
      <c r="BQ66" s="159">
        <f>IF(BP66&gt;0.005,BP66*Debts!D24/12,0)</f>
        <v/>
      </c>
      <c r="BR66" s="159" t="n">
        <v>0</v>
      </c>
      <c r="BS66" s="152">
        <f>MAX(0,BP66+BQ66-BR66)</f>
        <v/>
      </c>
      <c r="BT66" s="152">
        <f>BW65</f>
        <v/>
      </c>
      <c r="BU66" s="159">
        <f>IF(BT66&gt;0.005,BT66*Debts!D25/12,0)</f>
        <v/>
      </c>
      <c r="BV66" s="159" t="n">
        <v>0</v>
      </c>
      <c r="BW66" s="152">
        <f>MAX(0,BT66+BU66-BV66)</f>
        <v/>
      </c>
      <c r="BX66" s="152">
        <f>CA65</f>
        <v/>
      </c>
      <c r="BY66" s="159">
        <f>IF(BX66&gt;0.005,BX66*Debts!D26/12,0)</f>
        <v/>
      </c>
      <c r="BZ66" s="159" t="n">
        <v>0</v>
      </c>
      <c r="CA66" s="152">
        <f>MAX(0,BX66+BY66-BZ66)</f>
        <v/>
      </c>
      <c r="CB66" s="152">
        <f>CE65</f>
        <v/>
      </c>
      <c r="CC66" s="159">
        <f>IF(CB66&gt;0.005,CB66*Debts!D27/12,0)</f>
        <v/>
      </c>
      <c r="CD66" s="159" t="n">
        <v>0</v>
      </c>
      <c r="CE66" s="152">
        <f>MAX(0,CB66+CC66-CD66)</f>
        <v/>
      </c>
      <c r="CF66" s="152">
        <f>G66+K66+O66+S66+W66+AA66+AE66+AI66+AM66+AQ66+AU66+AY66+BC66+BG66+BK66+BO66+BS66+BW66+CA66+CE66</f>
        <v/>
      </c>
      <c r="CG66" s="159">
        <f>E66+I66+M66+Q66+U66+Y66+AC66+AG66+AK66+AO66+AS66+AW66+BA66+BE66+BI66+BM66+BQ66+BU66+BY66+CC66</f>
        <v/>
      </c>
      <c r="CH66" s="152">
        <f>CH65+CG66</f>
        <v/>
      </c>
      <c r="CI66" s="148" t="n"/>
      <c r="CJ66" s="148" t="n"/>
    </row>
    <row r="67" ht="15" customHeight="1" s="83">
      <c r="A67" s="148" t="n"/>
      <c r="B67" s="158" t="n">
        <v>63</v>
      </c>
      <c r="C67" s="152">
        <f>F67+J67+N67+R67+V67+Z67+AD67+AH67+AL67+AP67+AT67+AX67+BB67+BF67+BJ67+BN67+BR67+BV67+BZ67+CD67</f>
        <v/>
      </c>
      <c r="D67" s="152">
        <f>G66</f>
        <v/>
      </c>
      <c r="E67" s="159">
        <f>IF(D67&gt;0.005,D67*Debts!D8/12,0)</f>
        <v/>
      </c>
      <c r="F67" s="159" t="n">
        <v>0</v>
      </c>
      <c r="G67" s="152">
        <f>MAX(0,D67+E67-F67)</f>
        <v/>
      </c>
      <c r="H67" s="152">
        <f>K66</f>
        <v/>
      </c>
      <c r="I67" s="159">
        <f>IF(H67&gt;0.005,H67*Debts!D9/12,0)</f>
        <v/>
      </c>
      <c r="J67" s="159" t="n">
        <v>0</v>
      </c>
      <c r="K67" s="152">
        <f>MAX(0,H67+I67-J67)</f>
        <v/>
      </c>
      <c r="L67" s="152">
        <f>O66</f>
        <v/>
      </c>
      <c r="M67" s="159">
        <f>IF(L67&gt;0.005,L67*Debts!D10/12,0)</f>
        <v/>
      </c>
      <c r="N67" s="159" t="n">
        <v>0</v>
      </c>
      <c r="O67" s="152">
        <f>MAX(0,L67+M67-N67)</f>
        <v/>
      </c>
      <c r="P67" s="152">
        <f>S66</f>
        <v/>
      </c>
      <c r="Q67" s="159">
        <f>IF(P67&gt;0.005,P67*Debts!D11/12,0)</f>
        <v/>
      </c>
      <c r="R67" s="159" t="n">
        <v>0</v>
      </c>
      <c r="S67" s="152">
        <f>MAX(0,P67+Q67-R67)</f>
        <v/>
      </c>
      <c r="T67" s="152">
        <f>W66</f>
        <v/>
      </c>
      <c r="U67" s="159">
        <f>IF(T67&gt;0.005,T67*Debts!D12/12,0)</f>
        <v/>
      </c>
      <c r="V67" s="159" t="n">
        <v>0</v>
      </c>
      <c r="W67" s="152">
        <f>MAX(0,T67+U67-V67)</f>
        <v/>
      </c>
      <c r="X67" s="152">
        <f>AA66</f>
        <v/>
      </c>
      <c r="Y67" s="159">
        <f>IF(X67&gt;0.005,X67*Debts!D13/12,0)</f>
        <v/>
      </c>
      <c r="Z67" s="159" t="n">
        <v>0</v>
      </c>
      <c r="AA67" s="152">
        <f>MAX(0,X67+Y67-Z67)</f>
        <v/>
      </c>
      <c r="AB67" s="152">
        <f>AE66</f>
        <v/>
      </c>
      <c r="AC67" s="159">
        <f>IF(AB67&gt;0.005,AB67*Debts!D14/12,0)</f>
        <v/>
      </c>
      <c r="AD67" s="159" t="n">
        <v>0</v>
      </c>
      <c r="AE67" s="152">
        <f>MAX(0,AB67+AC67-AD67)</f>
        <v/>
      </c>
      <c r="AF67" s="152">
        <f>AI66</f>
        <v/>
      </c>
      <c r="AG67" s="159">
        <f>IF(AF67&gt;0.005,AF67*Debts!D15/12,0)</f>
        <v/>
      </c>
      <c r="AH67" s="159" t="n">
        <v>0</v>
      </c>
      <c r="AI67" s="152">
        <f>MAX(0,AF67+AG67-AH67)</f>
        <v/>
      </c>
      <c r="AJ67" s="152">
        <f>AM66</f>
        <v/>
      </c>
      <c r="AK67" s="159">
        <f>IF(AJ67&gt;0.005,AJ67*Debts!D16/12,0)</f>
        <v/>
      </c>
      <c r="AL67" s="159" t="n">
        <v>0</v>
      </c>
      <c r="AM67" s="152">
        <f>MAX(0,AJ67+AK67-AL67)</f>
        <v/>
      </c>
      <c r="AN67" s="152">
        <f>AQ66</f>
        <v/>
      </c>
      <c r="AO67" s="159">
        <f>IF(AN67&gt;0.005,AN67*Debts!D17/12,0)</f>
        <v/>
      </c>
      <c r="AP67" s="159" t="n">
        <v>0</v>
      </c>
      <c r="AQ67" s="152">
        <f>MAX(0,AN67+AO67-AP67)</f>
        <v/>
      </c>
      <c r="AR67" s="152">
        <f>AU66</f>
        <v/>
      </c>
      <c r="AS67" s="159">
        <f>IF(AR67&gt;0.005,AR67*Debts!D18/12,0)</f>
        <v/>
      </c>
      <c r="AT67" s="159" t="n">
        <v>0</v>
      </c>
      <c r="AU67" s="152">
        <f>MAX(0,AR67+AS67-AT67)</f>
        <v/>
      </c>
      <c r="AV67" s="152">
        <f>AY66</f>
        <v/>
      </c>
      <c r="AW67" s="159">
        <f>IF(AV67&gt;0.005,AV67*Debts!D19/12,0)</f>
        <v/>
      </c>
      <c r="AX67" s="159" t="n">
        <v>0</v>
      </c>
      <c r="AY67" s="152">
        <f>MAX(0,AV67+AW67-AX67)</f>
        <v/>
      </c>
      <c r="AZ67" s="152">
        <f>BC66</f>
        <v/>
      </c>
      <c r="BA67" s="159">
        <f>IF(AZ67&gt;0.005,AZ67*Debts!D20/12,0)</f>
        <v/>
      </c>
      <c r="BB67" s="159" t="n">
        <v>0</v>
      </c>
      <c r="BC67" s="152">
        <f>MAX(0,AZ67+BA67-BB67)</f>
        <v/>
      </c>
      <c r="BD67" s="152">
        <f>BG66</f>
        <v/>
      </c>
      <c r="BE67" s="159">
        <f>IF(BD67&gt;0.005,BD67*Debts!D21/12,0)</f>
        <v/>
      </c>
      <c r="BF67" s="159" t="n">
        <v>0</v>
      </c>
      <c r="BG67" s="152">
        <f>MAX(0,BD67+BE67-BF67)</f>
        <v/>
      </c>
      <c r="BH67" s="152">
        <f>BK66</f>
        <v/>
      </c>
      <c r="BI67" s="159">
        <f>IF(BH67&gt;0.005,BH67*Debts!D22/12,0)</f>
        <v/>
      </c>
      <c r="BJ67" s="159" t="n">
        <v>0</v>
      </c>
      <c r="BK67" s="152">
        <f>MAX(0,BH67+BI67-BJ67)</f>
        <v/>
      </c>
      <c r="BL67" s="152">
        <f>BO66</f>
        <v/>
      </c>
      <c r="BM67" s="159">
        <f>IF(BL67&gt;0.005,BL67*Debts!D23/12,0)</f>
        <v/>
      </c>
      <c r="BN67" s="159" t="n">
        <v>0</v>
      </c>
      <c r="BO67" s="152">
        <f>MAX(0,BL67+BM67-BN67)</f>
        <v/>
      </c>
      <c r="BP67" s="152">
        <f>BS66</f>
        <v/>
      </c>
      <c r="BQ67" s="159">
        <f>IF(BP67&gt;0.005,BP67*Debts!D24/12,0)</f>
        <v/>
      </c>
      <c r="BR67" s="159" t="n">
        <v>0</v>
      </c>
      <c r="BS67" s="152">
        <f>MAX(0,BP67+BQ67-BR67)</f>
        <v/>
      </c>
      <c r="BT67" s="152">
        <f>BW66</f>
        <v/>
      </c>
      <c r="BU67" s="159">
        <f>IF(BT67&gt;0.005,BT67*Debts!D25/12,0)</f>
        <v/>
      </c>
      <c r="BV67" s="159" t="n">
        <v>0</v>
      </c>
      <c r="BW67" s="152">
        <f>MAX(0,BT67+BU67-BV67)</f>
        <v/>
      </c>
      <c r="BX67" s="152">
        <f>CA66</f>
        <v/>
      </c>
      <c r="BY67" s="159">
        <f>IF(BX67&gt;0.005,BX67*Debts!D26/12,0)</f>
        <v/>
      </c>
      <c r="BZ67" s="159" t="n">
        <v>0</v>
      </c>
      <c r="CA67" s="152">
        <f>MAX(0,BX67+BY67-BZ67)</f>
        <v/>
      </c>
      <c r="CB67" s="152">
        <f>CE66</f>
        <v/>
      </c>
      <c r="CC67" s="159">
        <f>IF(CB67&gt;0.005,CB67*Debts!D27/12,0)</f>
        <v/>
      </c>
      <c r="CD67" s="159" t="n">
        <v>0</v>
      </c>
      <c r="CE67" s="152">
        <f>MAX(0,CB67+CC67-CD67)</f>
        <v/>
      </c>
      <c r="CF67" s="152">
        <f>G67+K67+O67+S67+W67+AA67+AE67+AI67+AM67+AQ67+AU67+AY67+BC67+BG67+BK67+BO67+BS67+BW67+CA67+CE67</f>
        <v/>
      </c>
      <c r="CG67" s="159">
        <f>E67+I67+M67+Q67+U67+Y67+AC67+AG67+AK67+AO67+AS67+AW67+BA67+BE67+BI67+BM67+BQ67+BU67+BY67+CC67</f>
        <v/>
      </c>
      <c r="CH67" s="152">
        <f>CH66+CG67</f>
        <v/>
      </c>
      <c r="CI67" s="148" t="n"/>
      <c r="CJ67" s="148" t="n"/>
    </row>
    <row r="68" ht="15" customHeight="1" s="83">
      <c r="A68" s="148" t="n"/>
      <c r="B68" s="158" t="n">
        <v>64</v>
      </c>
      <c r="C68" s="152">
        <f>F68+J68+N68+R68+V68+Z68+AD68+AH68+AL68+AP68+AT68+AX68+BB68+BF68+BJ68+BN68+BR68+BV68+BZ68+CD68</f>
        <v/>
      </c>
      <c r="D68" s="152">
        <f>G67</f>
        <v/>
      </c>
      <c r="E68" s="159">
        <f>IF(D68&gt;0.005,D68*Debts!D8/12,0)</f>
        <v/>
      </c>
      <c r="F68" s="159" t="n">
        <v>0</v>
      </c>
      <c r="G68" s="152">
        <f>MAX(0,D68+E68-F68)</f>
        <v/>
      </c>
      <c r="H68" s="152">
        <f>K67</f>
        <v/>
      </c>
      <c r="I68" s="159">
        <f>IF(H68&gt;0.005,H68*Debts!D9/12,0)</f>
        <v/>
      </c>
      <c r="J68" s="159" t="n">
        <v>0</v>
      </c>
      <c r="K68" s="152">
        <f>MAX(0,H68+I68-J68)</f>
        <v/>
      </c>
      <c r="L68" s="152">
        <f>O67</f>
        <v/>
      </c>
      <c r="M68" s="159">
        <f>IF(L68&gt;0.005,L68*Debts!D10/12,0)</f>
        <v/>
      </c>
      <c r="N68" s="159" t="n">
        <v>0</v>
      </c>
      <c r="O68" s="152">
        <f>MAX(0,L68+M68-N68)</f>
        <v/>
      </c>
      <c r="P68" s="152">
        <f>S67</f>
        <v/>
      </c>
      <c r="Q68" s="159">
        <f>IF(P68&gt;0.005,P68*Debts!D11/12,0)</f>
        <v/>
      </c>
      <c r="R68" s="159" t="n">
        <v>0</v>
      </c>
      <c r="S68" s="152">
        <f>MAX(0,P68+Q68-R68)</f>
        <v/>
      </c>
      <c r="T68" s="152">
        <f>W67</f>
        <v/>
      </c>
      <c r="U68" s="159">
        <f>IF(T68&gt;0.005,T68*Debts!D12/12,0)</f>
        <v/>
      </c>
      <c r="V68" s="159" t="n">
        <v>0</v>
      </c>
      <c r="W68" s="152">
        <f>MAX(0,T68+U68-V68)</f>
        <v/>
      </c>
      <c r="X68" s="152">
        <f>AA67</f>
        <v/>
      </c>
      <c r="Y68" s="159">
        <f>IF(X68&gt;0.005,X68*Debts!D13/12,0)</f>
        <v/>
      </c>
      <c r="Z68" s="159" t="n">
        <v>0</v>
      </c>
      <c r="AA68" s="152">
        <f>MAX(0,X68+Y68-Z68)</f>
        <v/>
      </c>
      <c r="AB68" s="152">
        <f>AE67</f>
        <v/>
      </c>
      <c r="AC68" s="159">
        <f>IF(AB68&gt;0.005,AB68*Debts!D14/12,0)</f>
        <v/>
      </c>
      <c r="AD68" s="159" t="n">
        <v>0</v>
      </c>
      <c r="AE68" s="152">
        <f>MAX(0,AB68+AC68-AD68)</f>
        <v/>
      </c>
      <c r="AF68" s="152">
        <f>AI67</f>
        <v/>
      </c>
      <c r="AG68" s="159">
        <f>IF(AF68&gt;0.005,AF68*Debts!D15/12,0)</f>
        <v/>
      </c>
      <c r="AH68" s="159" t="n">
        <v>0</v>
      </c>
      <c r="AI68" s="152">
        <f>MAX(0,AF68+AG68-AH68)</f>
        <v/>
      </c>
      <c r="AJ68" s="152">
        <f>AM67</f>
        <v/>
      </c>
      <c r="AK68" s="159">
        <f>IF(AJ68&gt;0.005,AJ68*Debts!D16/12,0)</f>
        <v/>
      </c>
      <c r="AL68" s="159" t="n">
        <v>0</v>
      </c>
      <c r="AM68" s="152">
        <f>MAX(0,AJ68+AK68-AL68)</f>
        <v/>
      </c>
      <c r="AN68" s="152">
        <f>AQ67</f>
        <v/>
      </c>
      <c r="AO68" s="159">
        <f>IF(AN68&gt;0.005,AN68*Debts!D17/12,0)</f>
        <v/>
      </c>
      <c r="AP68" s="159" t="n">
        <v>0</v>
      </c>
      <c r="AQ68" s="152">
        <f>MAX(0,AN68+AO68-AP68)</f>
        <v/>
      </c>
      <c r="AR68" s="152">
        <f>AU67</f>
        <v/>
      </c>
      <c r="AS68" s="159">
        <f>IF(AR68&gt;0.005,AR68*Debts!D18/12,0)</f>
        <v/>
      </c>
      <c r="AT68" s="159" t="n">
        <v>0</v>
      </c>
      <c r="AU68" s="152">
        <f>MAX(0,AR68+AS68-AT68)</f>
        <v/>
      </c>
      <c r="AV68" s="152">
        <f>AY67</f>
        <v/>
      </c>
      <c r="AW68" s="159">
        <f>IF(AV68&gt;0.005,AV68*Debts!D19/12,0)</f>
        <v/>
      </c>
      <c r="AX68" s="159" t="n">
        <v>0</v>
      </c>
      <c r="AY68" s="152">
        <f>MAX(0,AV68+AW68-AX68)</f>
        <v/>
      </c>
      <c r="AZ68" s="152">
        <f>BC67</f>
        <v/>
      </c>
      <c r="BA68" s="159">
        <f>IF(AZ68&gt;0.005,AZ68*Debts!D20/12,0)</f>
        <v/>
      </c>
      <c r="BB68" s="159" t="n">
        <v>0</v>
      </c>
      <c r="BC68" s="152">
        <f>MAX(0,AZ68+BA68-BB68)</f>
        <v/>
      </c>
      <c r="BD68" s="152">
        <f>BG67</f>
        <v/>
      </c>
      <c r="BE68" s="159">
        <f>IF(BD68&gt;0.005,BD68*Debts!D21/12,0)</f>
        <v/>
      </c>
      <c r="BF68" s="159" t="n">
        <v>0</v>
      </c>
      <c r="BG68" s="152">
        <f>MAX(0,BD68+BE68-BF68)</f>
        <v/>
      </c>
      <c r="BH68" s="152">
        <f>BK67</f>
        <v/>
      </c>
      <c r="BI68" s="159">
        <f>IF(BH68&gt;0.005,BH68*Debts!D22/12,0)</f>
        <v/>
      </c>
      <c r="BJ68" s="159" t="n">
        <v>0</v>
      </c>
      <c r="BK68" s="152">
        <f>MAX(0,BH68+BI68-BJ68)</f>
        <v/>
      </c>
      <c r="BL68" s="152">
        <f>BO67</f>
        <v/>
      </c>
      <c r="BM68" s="159">
        <f>IF(BL68&gt;0.005,BL68*Debts!D23/12,0)</f>
        <v/>
      </c>
      <c r="BN68" s="159" t="n">
        <v>0</v>
      </c>
      <c r="BO68" s="152">
        <f>MAX(0,BL68+BM68-BN68)</f>
        <v/>
      </c>
      <c r="BP68" s="152">
        <f>BS67</f>
        <v/>
      </c>
      <c r="BQ68" s="159">
        <f>IF(BP68&gt;0.005,BP68*Debts!D24/12,0)</f>
        <v/>
      </c>
      <c r="BR68" s="159" t="n">
        <v>0</v>
      </c>
      <c r="BS68" s="152">
        <f>MAX(0,BP68+BQ68-BR68)</f>
        <v/>
      </c>
      <c r="BT68" s="152">
        <f>BW67</f>
        <v/>
      </c>
      <c r="BU68" s="159">
        <f>IF(BT68&gt;0.005,BT68*Debts!D25/12,0)</f>
        <v/>
      </c>
      <c r="BV68" s="159" t="n">
        <v>0</v>
      </c>
      <c r="BW68" s="152">
        <f>MAX(0,BT68+BU68-BV68)</f>
        <v/>
      </c>
      <c r="BX68" s="152">
        <f>CA67</f>
        <v/>
      </c>
      <c r="BY68" s="159">
        <f>IF(BX68&gt;0.005,BX68*Debts!D26/12,0)</f>
        <v/>
      </c>
      <c r="BZ68" s="159" t="n">
        <v>0</v>
      </c>
      <c r="CA68" s="152">
        <f>MAX(0,BX68+BY68-BZ68)</f>
        <v/>
      </c>
      <c r="CB68" s="152">
        <f>CE67</f>
        <v/>
      </c>
      <c r="CC68" s="159">
        <f>IF(CB68&gt;0.005,CB68*Debts!D27/12,0)</f>
        <v/>
      </c>
      <c r="CD68" s="159" t="n">
        <v>0</v>
      </c>
      <c r="CE68" s="152">
        <f>MAX(0,CB68+CC68-CD68)</f>
        <v/>
      </c>
      <c r="CF68" s="152">
        <f>G68+K68+O68+S68+W68+AA68+AE68+AI68+AM68+AQ68+AU68+AY68+BC68+BG68+BK68+BO68+BS68+BW68+CA68+CE68</f>
        <v/>
      </c>
      <c r="CG68" s="159">
        <f>E68+I68+M68+Q68+U68+Y68+AC68+AG68+AK68+AO68+AS68+AW68+BA68+BE68+BI68+BM68+BQ68+BU68+BY68+CC68</f>
        <v/>
      </c>
      <c r="CH68" s="152">
        <f>CH67+CG68</f>
        <v/>
      </c>
      <c r="CI68" s="148" t="n"/>
      <c r="CJ68" s="148" t="n"/>
    </row>
    <row r="69" ht="15" customHeight="1" s="83">
      <c r="A69" s="148" t="n"/>
      <c r="B69" s="158" t="n">
        <v>65</v>
      </c>
      <c r="C69" s="152">
        <f>F69+J69+N69+R69+V69+Z69+AD69+AH69+AL69+AP69+AT69+AX69+BB69+BF69+BJ69+BN69+BR69+BV69+BZ69+CD69</f>
        <v/>
      </c>
      <c r="D69" s="152">
        <f>G68</f>
        <v/>
      </c>
      <c r="E69" s="159">
        <f>IF(D69&gt;0.005,D69*Debts!D8/12,0)</f>
        <v/>
      </c>
      <c r="F69" s="159" t="n">
        <v>0</v>
      </c>
      <c r="G69" s="152">
        <f>MAX(0,D69+E69-F69)</f>
        <v/>
      </c>
      <c r="H69" s="152">
        <f>K68</f>
        <v/>
      </c>
      <c r="I69" s="159">
        <f>IF(H69&gt;0.005,H69*Debts!D9/12,0)</f>
        <v/>
      </c>
      <c r="J69" s="159" t="n">
        <v>0</v>
      </c>
      <c r="K69" s="152">
        <f>MAX(0,H69+I69-J69)</f>
        <v/>
      </c>
      <c r="L69" s="152">
        <f>O68</f>
        <v/>
      </c>
      <c r="M69" s="159">
        <f>IF(L69&gt;0.005,L69*Debts!D10/12,0)</f>
        <v/>
      </c>
      <c r="N69" s="159" t="n">
        <v>0</v>
      </c>
      <c r="O69" s="152">
        <f>MAX(0,L69+M69-N69)</f>
        <v/>
      </c>
      <c r="P69" s="152">
        <f>S68</f>
        <v/>
      </c>
      <c r="Q69" s="159">
        <f>IF(P69&gt;0.005,P69*Debts!D11/12,0)</f>
        <v/>
      </c>
      <c r="R69" s="159" t="n">
        <v>0</v>
      </c>
      <c r="S69" s="152">
        <f>MAX(0,P69+Q69-R69)</f>
        <v/>
      </c>
      <c r="T69" s="152">
        <f>W68</f>
        <v/>
      </c>
      <c r="U69" s="159">
        <f>IF(T69&gt;0.005,T69*Debts!D12/12,0)</f>
        <v/>
      </c>
      <c r="V69" s="159" t="n">
        <v>0</v>
      </c>
      <c r="W69" s="152">
        <f>MAX(0,T69+U69-V69)</f>
        <v/>
      </c>
      <c r="X69" s="152">
        <f>AA68</f>
        <v/>
      </c>
      <c r="Y69" s="159">
        <f>IF(X69&gt;0.005,X69*Debts!D13/12,0)</f>
        <v/>
      </c>
      <c r="Z69" s="159" t="n">
        <v>0</v>
      </c>
      <c r="AA69" s="152">
        <f>MAX(0,X69+Y69-Z69)</f>
        <v/>
      </c>
      <c r="AB69" s="152">
        <f>AE68</f>
        <v/>
      </c>
      <c r="AC69" s="159">
        <f>IF(AB69&gt;0.005,AB69*Debts!D14/12,0)</f>
        <v/>
      </c>
      <c r="AD69" s="159" t="n">
        <v>0</v>
      </c>
      <c r="AE69" s="152">
        <f>MAX(0,AB69+AC69-AD69)</f>
        <v/>
      </c>
      <c r="AF69" s="152">
        <f>AI68</f>
        <v/>
      </c>
      <c r="AG69" s="159">
        <f>IF(AF69&gt;0.005,AF69*Debts!D15/12,0)</f>
        <v/>
      </c>
      <c r="AH69" s="159" t="n">
        <v>0</v>
      </c>
      <c r="AI69" s="152">
        <f>MAX(0,AF69+AG69-AH69)</f>
        <v/>
      </c>
      <c r="AJ69" s="152">
        <f>AM68</f>
        <v/>
      </c>
      <c r="AK69" s="159">
        <f>IF(AJ69&gt;0.005,AJ69*Debts!D16/12,0)</f>
        <v/>
      </c>
      <c r="AL69" s="159" t="n">
        <v>0</v>
      </c>
      <c r="AM69" s="152">
        <f>MAX(0,AJ69+AK69-AL69)</f>
        <v/>
      </c>
      <c r="AN69" s="152">
        <f>AQ68</f>
        <v/>
      </c>
      <c r="AO69" s="159">
        <f>IF(AN69&gt;0.005,AN69*Debts!D17/12,0)</f>
        <v/>
      </c>
      <c r="AP69" s="159" t="n">
        <v>0</v>
      </c>
      <c r="AQ69" s="152">
        <f>MAX(0,AN69+AO69-AP69)</f>
        <v/>
      </c>
      <c r="AR69" s="152">
        <f>AU68</f>
        <v/>
      </c>
      <c r="AS69" s="159">
        <f>IF(AR69&gt;0.005,AR69*Debts!D18/12,0)</f>
        <v/>
      </c>
      <c r="AT69" s="159" t="n">
        <v>0</v>
      </c>
      <c r="AU69" s="152">
        <f>MAX(0,AR69+AS69-AT69)</f>
        <v/>
      </c>
      <c r="AV69" s="152">
        <f>AY68</f>
        <v/>
      </c>
      <c r="AW69" s="159">
        <f>IF(AV69&gt;0.005,AV69*Debts!D19/12,0)</f>
        <v/>
      </c>
      <c r="AX69" s="159" t="n">
        <v>0</v>
      </c>
      <c r="AY69" s="152">
        <f>MAX(0,AV69+AW69-AX69)</f>
        <v/>
      </c>
      <c r="AZ69" s="152">
        <f>BC68</f>
        <v/>
      </c>
      <c r="BA69" s="159">
        <f>IF(AZ69&gt;0.005,AZ69*Debts!D20/12,0)</f>
        <v/>
      </c>
      <c r="BB69" s="159" t="n">
        <v>0</v>
      </c>
      <c r="BC69" s="152">
        <f>MAX(0,AZ69+BA69-BB69)</f>
        <v/>
      </c>
      <c r="BD69" s="152">
        <f>BG68</f>
        <v/>
      </c>
      <c r="BE69" s="159">
        <f>IF(BD69&gt;0.005,BD69*Debts!D21/12,0)</f>
        <v/>
      </c>
      <c r="BF69" s="159" t="n">
        <v>0</v>
      </c>
      <c r="BG69" s="152">
        <f>MAX(0,BD69+BE69-BF69)</f>
        <v/>
      </c>
      <c r="BH69" s="152">
        <f>BK68</f>
        <v/>
      </c>
      <c r="BI69" s="159">
        <f>IF(BH69&gt;0.005,BH69*Debts!D22/12,0)</f>
        <v/>
      </c>
      <c r="BJ69" s="159" t="n">
        <v>0</v>
      </c>
      <c r="BK69" s="152">
        <f>MAX(0,BH69+BI69-BJ69)</f>
        <v/>
      </c>
      <c r="BL69" s="152">
        <f>BO68</f>
        <v/>
      </c>
      <c r="BM69" s="159">
        <f>IF(BL69&gt;0.005,BL69*Debts!D23/12,0)</f>
        <v/>
      </c>
      <c r="BN69" s="159" t="n">
        <v>0</v>
      </c>
      <c r="BO69" s="152">
        <f>MAX(0,BL69+BM69-BN69)</f>
        <v/>
      </c>
      <c r="BP69" s="152">
        <f>BS68</f>
        <v/>
      </c>
      <c r="BQ69" s="159">
        <f>IF(BP69&gt;0.005,BP69*Debts!D24/12,0)</f>
        <v/>
      </c>
      <c r="BR69" s="159" t="n">
        <v>0</v>
      </c>
      <c r="BS69" s="152">
        <f>MAX(0,BP69+BQ69-BR69)</f>
        <v/>
      </c>
      <c r="BT69" s="152">
        <f>BW68</f>
        <v/>
      </c>
      <c r="BU69" s="159">
        <f>IF(BT69&gt;0.005,BT69*Debts!D25/12,0)</f>
        <v/>
      </c>
      <c r="BV69" s="159" t="n">
        <v>0</v>
      </c>
      <c r="BW69" s="152">
        <f>MAX(0,BT69+BU69-BV69)</f>
        <v/>
      </c>
      <c r="BX69" s="152">
        <f>CA68</f>
        <v/>
      </c>
      <c r="BY69" s="159">
        <f>IF(BX69&gt;0.005,BX69*Debts!D26/12,0)</f>
        <v/>
      </c>
      <c r="BZ69" s="159" t="n">
        <v>0</v>
      </c>
      <c r="CA69" s="152">
        <f>MAX(0,BX69+BY69-BZ69)</f>
        <v/>
      </c>
      <c r="CB69" s="152">
        <f>CE68</f>
        <v/>
      </c>
      <c r="CC69" s="159">
        <f>IF(CB69&gt;0.005,CB69*Debts!D27/12,0)</f>
        <v/>
      </c>
      <c r="CD69" s="159" t="n">
        <v>0</v>
      </c>
      <c r="CE69" s="152">
        <f>MAX(0,CB69+CC69-CD69)</f>
        <v/>
      </c>
      <c r="CF69" s="152">
        <f>G69+K69+O69+S69+W69+AA69+AE69+AI69+AM69+AQ69+AU69+AY69+BC69+BG69+BK69+BO69+BS69+BW69+CA69+CE69</f>
        <v/>
      </c>
      <c r="CG69" s="159">
        <f>E69+I69+M69+Q69+U69+Y69+AC69+AG69+AK69+AO69+AS69+AW69+BA69+BE69+BI69+BM69+BQ69+BU69+BY69+CC69</f>
        <v/>
      </c>
      <c r="CH69" s="152">
        <f>CH68+CG69</f>
        <v/>
      </c>
      <c r="CI69" s="148" t="n"/>
      <c r="CJ69" s="148" t="n"/>
    </row>
    <row r="70" ht="15" customHeight="1" s="83">
      <c r="A70" s="148" t="n"/>
      <c r="B70" s="158" t="n">
        <v>66</v>
      </c>
      <c r="C70" s="152">
        <f>F70+J70+N70+R70+V70+Z70+AD70+AH70+AL70+AP70+AT70+AX70+BB70+BF70+BJ70+BN70+BR70+BV70+BZ70+CD70</f>
        <v/>
      </c>
      <c r="D70" s="152">
        <f>G69</f>
        <v/>
      </c>
      <c r="E70" s="159">
        <f>IF(D70&gt;0.005,D70*Debts!D8/12,0)</f>
        <v/>
      </c>
      <c r="F70" s="159" t="n">
        <v>0</v>
      </c>
      <c r="G70" s="152">
        <f>MAX(0,D70+E70-F70)</f>
        <v/>
      </c>
      <c r="H70" s="152">
        <f>K69</f>
        <v/>
      </c>
      <c r="I70" s="159">
        <f>IF(H70&gt;0.005,H70*Debts!D9/12,0)</f>
        <v/>
      </c>
      <c r="J70" s="159" t="n">
        <v>0</v>
      </c>
      <c r="K70" s="152">
        <f>MAX(0,H70+I70-J70)</f>
        <v/>
      </c>
      <c r="L70" s="152">
        <f>O69</f>
        <v/>
      </c>
      <c r="M70" s="159">
        <f>IF(L70&gt;0.005,L70*Debts!D10/12,0)</f>
        <v/>
      </c>
      <c r="N70" s="159" t="n">
        <v>0</v>
      </c>
      <c r="O70" s="152">
        <f>MAX(0,L70+M70-N70)</f>
        <v/>
      </c>
      <c r="P70" s="152">
        <f>S69</f>
        <v/>
      </c>
      <c r="Q70" s="159">
        <f>IF(P70&gt;0.005,P70*Debts!D11/12,0)</f>
        <v/>
      </c>
      <c r="R70" s="159" t="n">
        <v>0</v>
      </c>
      <c r="S70" s="152">
        <f>MAX(0,P70+Q70-R70)</f>
        <v/>
      </c>
      <c r="T70" s="152">
        <f>W69</f>
        <v/>
      </c>
      <c r="U70" s="159">
        <f>IF(T70&gt;0.005,T70*Debts!D12/12,0)</f>
        <v/>
      </c>
      <c r="V70" s="159" t="n">
        <v>0</v>
      </c>
      <c r="W70" s="152">
        <f>MAX(0,T70+U70-V70)</f>
        <v/>
      </c>
      <c r="X70" s="152">
        <f>AA69</f>
        <v/>
      </c>
      <c r="Y70" s="159">
        <f>IF(X70&gt;0.005,X70*Debts!D13/12,0)</f>
        <v/>
      </c>
      <c r="Z70" s="159" t="n">
        <v>0</v>
      </c>
      <c r="AA70" s="152">
        <f>MAX(0,X70+Y70-Z70)</f>
        <v/>
      </c>
      <c r="AB70" s="152">
        <f>AE69</f>
        <v/>
      </c>
      <c r="AC70" s="159">
        <f>IF(AB70&gt;0.005,AB70*Debts!D14/12,0)</f>
        <v/>
      </c>
      <c r="AD70" s="159" t="n">
        <v>0</v>
      </c>
      <c r="AE70" s="152">
        <f>MAX(0,AB70+AC70-AD70)</f>
        <v/>
      </c>
      <c r="AF70" s="152">
        <f>AI69</f>
        <v/>
      </c>
      <c r="AG70" s="159">
        <f>IF(AF70&gt;0.005,AF70*Debts!D15/12,0)</f>
        <v/>
      </c>
      <c r="AH70" s="159" t="n">
        <v>0</v>
      </c>
      <c r="AI70" s="152">
        <f>MAX(0,AF70+AG70-AH70)</f>
        <v/>
      </c>
      <c r="AJ70" s="152">
        <f>AM69</f>
        <v/>
      </c>
      <c r="AK70" s="159">
        <f>IF(AJ70&gt;0.005,AJ70*Debts!D16/12,0)</f>
        <v/>
      </c>
      <c r="AL70" s="159" t="n">
        <v>0</v>
      </c>
      <c r="AM70" s="152">
        <f>MAX(0,AJ70+AK70-AL70)</f>
        <v/>
      </c>
      <c r="AN70" s="152">
        <f>AQ69</f>
        <v/>
      </c>
      <c r="AO70" s="159">
        <f>IF(AN70&gt;0.005,AN70*Debts!D17/12,0)</f>
        <v/>
      </c>
      <c r="AP70" s="159" t="n">
        <v>0</v>
      </c>
      <c r="AQ70" s="152">
        <f>MAX(0,AN70+AO70-AP70)</f>
        <v/>
      </c>
      <c r="AR70" s="152">
        <f>AU69</f>
        <v/>
      </c>
      <c r="AS70" s="159">
        <f>IF(AR70&gt;0.005,AR70*Debts!D18/12,0)</f>
        <v/>
      </c>
      <c r="AT70" s="159" t="n">
        <v>0</v>
      </c>
      <c r="AU70" s="152">
        <f>MAX(0,AR70+AS70-AT70)</f>
        <v/>
      </c>
      <c r="AV70" s="152">
        <f>AY69</f>
        <v/>
      </c>
      <c r="AW70" s="159">
        <f>IF(AV70&gt;0.005,AV70*Debts!D19/12,0)</f>
        <v/>
      </c>
      <c r="AX70" s="159" t="n">
        <v>0</v>
      </c>
      <c r="AY70" s="152">
        <f>MAX(0,AV70+AW70-AX70)</f>
        <v/>
      </c>
      <c r="AZ70" s="152">
        <f>BC69</f>
        <v/>
      </c>
      <c r="BA70" s="159">
        <f>IF(AZ70&gt;0.005,AZ70*Debts!D20/12,0)</f>
        <v/>
      </c>
      <c r="BB70" s="159" t="n">
        <v>0</v>
      </c>
      <c r="BC70" s="152">
        <f>MAX(0,AZ70+BA70-BB70)</f>
        <v/>
      </c>
      <c r="BD70" s="152">
        <f>BG69</f>
        <v/>
      </c>
      <c r="BE70" s="159">
        <f>IF(BD70&gt;0.005,BD70*Debts!D21/12,0)</f>
        <v/>
      </c>
      <c r="BF70" s="159" t="n">
        <v>0</v>
      </c>
      <c r="BG70" s="152">
        <f>MAX(0,BD70+BE70-BF70)</f>
        <v/>
      </c>
      <c r="BH70" s="152">
        <f>BK69</f>
        <v/>
      </c>
      <c r="BI70" s="159">
        <f>IF(BH70&gt;0.005,BH70*Debts!D22/12,0)</f>
        <v/>
      </c>
      <c r="BJ70" s="159" t="n">
        <v>0</v>
      </c>
      <c r="BK70" s="152">
        <f>MAX(0,BH70+BI70-BJ70)</f>
        <v/>
      </c>
      <c r="BL70" s="152">
        <f>BO69</f>
        <v/>
      </c>
      <c r="BM70" s="159">
        <f>IF(BL70&gt;0.005,BL70*Debts!D23/12,0)</f>
        <v/>
      </c>
      <c r="BN70" s="159" t="n">
        <v>0</v>
      </c>
      <c r="BO70" s="152">
        <f>MAX(0,BL70+BM70-BN70)</f>
        <v/>
      </c>
      <c r="BP70" s="152">
        <f>BS69</f>
        <v/>
      </c>
      <c r="BQ70" s="159">
        <f>IF(BP70&gt;0.005,BP70*Debts!D24/12,0)</f>
        <v/>
      </c>
      <c r="BR70" s="159" t="n">
        <v>0</v>
      </c>
      <c r="BS70" s="152">
        <f>MAX(0,BP70+BQ70-BR70)</f>
        <v/>
      </c>
      <c r="BT70" s="152">
        <f>BW69</f>
        <v/>
      </c>
      <c r="BU70" s="159">
        <f>IF(BT70&gt;0.005,BT70*Debts!D25/12,0)</f>
        <v/>
      </c>
      <c r="BV70" s="159" t="n">
        <v>0</v>
      </c>
      <c r="BW70" s="152">
        <f>MAX(0,BT70+BU70-BV70)</f>
        <v/>
      </c>
      <c r="BX70" s="152">
        <f>CA69</f>
        <v/>
      </c>
      <c r="BY70" s="159">
        <f>IF(BX70&gt;0.005,BX70*Debts!D26/12,0)</f>
        <v/>
      </c>
      <c r="BZ70" s="159" t="n">
        <v>0</v>
      </c>
      <c r="CA70" s="152">
        <f>MAX(0,BX70+BY70-BZ70)</f>
        <v/>
      </c>
      <c r="CB70" s="152">
        <f>CE69</f>
        <v/>
      </c>
      <c r="CC70" s="159">
        <f>IF(CB70&gt;0.005,CB70*Debts!D27/12,0)</f>
        <v/>
      </c>
      <c r="CD70" s="159" t="n">
        <v>0</v>
      </c>
      <c r="CE70" s="152">
        <f>MAX(0,CB70+CC70-CD70)</f>
        <v/>
      </c>
      <c r="CF70" s="152">
        <f>G70+K70+O70+S70+W70+AA70+AE70+AI70+AM70+AQ70+AU70+AY70+BC70+BG70+BK70+BO70+BS70+BW70+CA70+CE70</f>
        <v/>
      </c>
      <c r="CG70" s="159">
        <f>E70+I70+M70+Q70+U70+Y70+AC70+AG70+AK70+AO70+AS70+AW70+BA70+BE70+BI70+BM70+BQ70+BU70+BY70+CC70</f>
        <v/>
      </c>
      <c r="CH70" s="152">
        <f>CH69+CG70</f>
        <v/>
      </c>
      <c r="CI70" s="148" t="n"/>
      <c r="CJ70" s="148" t="n"/>
    </row>
    <row r="71" ht="15" customHeight="1" s="83">
      <c r="A71" s="148" t="n"/>
      <c r="B71" s="158" t="n">
        <v>67</v>
      </c>
      <c r="C71" s="152">
        <f>F71+J71+N71+R71+V71+Z71+AD71+AH71+AL71+AP71+AT71+AX71+BB71+BF71+BJ71+BN71+BR71+BV71+BZ71+CD71</f>
        <v/>
      </c>
      <c r="D71" s="152">
        <f>G70</f>
        <v/>
      </c>
      <c r="E71" s="159">
        <f>IF(D71&gt;0.005,D71*Debts!D8/12,0)</f>
        <v/>
      </c>
      <c r="F71" s="159" t="n">
        <v>0</v>
      </c>
      <c r="G71" s="152">
        <f>MAX(0,D71+E71-F71)</f>
        <v/>
      </c>
      <c r="H71" s="152">
        <f>K70</f>
        <v/>
      </c>
      <c r="I71" s="159">
        <f>IF(H71&gt;0.005,H71*Debts!D9/12,0)</f>
        <v/>
      </c>
      <c r="J71" s="159" t="n">
        <v>0</v>
      </c>
      <c r="K71" s="152">
        <f>MAX(0,H71+I71-J71)</f>
        <v/>
      </c>
      <c r="L71" s="152">
        <f>O70</f>
        <v/>
      </c>
      <c r="M71" s="159">
        <f>IF(L71&gt;0.005,L71*Debts!D10/12,0)</f>
        <v/>
      </c>
      <c r="N71" s="159" t="n">
        <v>0</v>
      </c>
      <c r="O71" s="152">
        <f>MAX(0,L71+M71-N71)</f>
        <v/>
      </c>
      <c r="P71" s="152">
        <f>S70</f>
        <v/>
      </c>
      <c r="Q71" s="159">
        <f>IF(P71&gt;0.005,P71*Debts!D11/12,0)</f>
        <v/>
      </c>
      <c r="R71" s="159" t="n">
        <v>0</v>
      </c>
      <c r="S71" s="152">
        <f>MAX(0,P71+Q71-R71)</f>
        <v/>
      </c>
      <c r="T71" s="152">
        <f>W70</f>
        <v/>
      </c>
      <c r="U71" s="159">
        <f>IF(T71&gt;0.005,T71*Debts!D12/12,0)</f>
        <v/>
      </c>
      <c r="V71" s="159" t="n">
        <v>0</v>
      </c>
      <c r="W71" s="152">
        <f>MAX(0,T71+U71-V71)</f>
        <v/>
      </c>
      <c r="X71" s="152">
        <f>AA70</f>
        <v/>
      </c>
      <c r="Y71" s="159">
        <f>IF(X71&gt;0.005,X71*Debts!D13/12,0)</f>
        <v/>
      </c>
      <c r="Z71" s="159" t="n">
        <v>0</v>
      </c>
      <c r="AA71" s="152">
        <f>MAX(0,X71+Y71-Z71)</f>
        <v/>
      </c>
      <c r="AB71" s="152">
        <f>AE70</f>
        <v/>
      </c>
      <c r="AC71" s="159">
        <f>IF(AB71&gt;0.005,AB71*Debts!D14/12,0)</f>
        <v/>
      </c>
      <c r="AD71" s="159" t="n">
        <v>0</v>
      </c>
      <c r="AE71" s="152">
        <f>MAX(0,AB71+AC71-AD71)</f>
        <v/>
      </c>
      <c r="AF71" s="152">
        <f>AI70</f>
        <v/>
      </c>
      <c r="AG71" s="159">
        <f>IF(AF71&gt;0.005,AF71*Debts!D15/12,0)</f>
        <v/>
      </c>
      <c r="AH71" s="159" t="n">
        <v>0</v>
      </c>
      <c r="AI71" s="152">
        <f>MAX(0,AF71+AG71-AH71)</f>
        <v/>
      </c>
      <c r="AJ71" s="152">
        <f>AM70</f>
        <v/>
      </c>
      <c r="AK71" s="159">
        <f>IF(AJ71&gt;0.005,AJ71*Debts!D16/12,0)</f>
        <v/>
      </c>
      <c r="AL71" s="159" t="n">
        <v>0</v>
      </c>
      <c r="AM71" s="152">
        <f>MAX(0,AJ71+AK71-AL71)</f>
        <v/>
      </c>
      <c r="AN71" s="152">
        <f>AQ70</f>
        <v/>
      </c>
      <c r="AO71" s="159">
        <f>IF(AN71&gt;0.005,AN71*Debts!D17/12,0)</f>
        <v/>
      </c>
      <c r="AP71" s="159" t="n">
        <v>0</v>
      </c>
      <c r="AQ71" s="152">
        <f>MAX(0,AN71+AO71-AP71)</f>
        <v/>
      </c>
      <c r="AR71" s="152">
        <f>AU70</f>
        <v/>
      </c>
      <c r="AS71" s="159">
        <f>IF(AR71&gt;0.005,AR71*Debts!D18/12,0)</f>
        <v/>
      </c>
      <c r="AT71" s="159" t="n">
        <v>0</v>
      </c>
      <c r="AU71" s="152">
        <f>MAX(0,AR71+AS71-AT71)</f>
        <v/>
      </c>
      <c r="AV71" s="152">
        <f>AY70</f>
        <v/>
      </c>
      <c r="AW71" s="159">
        <f>IF(AV71&gt;0.005,AV71*Debts!D19/12,0)</f>
        <v/>
      </c>
      <c r="AX71" s="159" t="n">
        <v>0</v>
      </c>
      <c r="AY71" s="152">
        <f>MAX(0,AV71+AW71-AX71)</f>
        <v/>
      </c>
      <c r="AZ71" s="152">
        <f>BC70</f>
        <v/>
      </c>
      <c r="BA71" s="159">
        <f>IF(AZ71&gt;0.005,AZ71*Debts!D20/12,0)</f>
        <v/>
      </c>
      <c r="BB71" s="159" t="n">
        <v>0</v>
      </c>
      <c r="BC71" s="152">
        <f>MAX(0,AZ71+BA71-BB71)</f>
        <v/>
      </c>
      <c r="BD71" s="152">
        <f>BG70</f>
        <v/>
      </c>
      <c r="BE71" s="159">
        <f>IF(BD71&gt;0.005,BD71*Debts!D21/12,0)</f>
        <v/>
      </c>
      <c r="BF71" s="159" t="n">
        <v>0</v>
      </c>
      <c r="BG71" s="152">
        <f>MAX(0,BD71+BE71-BF71)</f>
        <v/>
      </c>
      <c r="BH71" s="152">
        <f>BK70</f>
        <v/>
      </c>
      <c r="BI71" s="159">
        <f>IF(BH71&gt;0.005,BH71*Debts!D22/12,0)</f>
        <v/>
      </c>
      <c r="BJ71" s="159" t="n">
        <v>0</v>
      </c>
      <c r="BK71" s="152">
        <f>MAX(0,BH71+BI71-BJ71)</f>
        <v/>
      </c>
      <c r="BL71" s="152">
        <f>BO70</f>
        <v/>
      </c>
      <c r="BM71" s="159">
        <f>IF(BL71&gt;0.005,BL71*Debts!D23/12,0)</f>
        <v/>
      </c>
      <c r="BN71" s="159" t="n">
        <v>0</v>
      </c>
      <c r="BO71" s="152">
        <f>MAX(0,BL71+BM71-BN71)</f>
        <v/>
      </c>
      <c r="BP71" s="152">
        <f>BS70</f>
        <v/>
      </c>
      <c r="BQ71" s="159">
        <f>IF(BP71&gt;0.005,BP71*Debts!D24/12,0)</f>
        <v/>
      </c>
      <c r="BR71" s="159" t="n">
        <v>0</v>
      </c>
      <c r="BS71" s="152">
        <f>MAX(0,BP71+BQ71-BR71)</f>
        <v/>
      </c>
      <c r="BT71" s="152">
        <f>BW70</f>
        <v/>
      </c>
      <c r="BU71" s="159">
        <f>IF(BT71&gt;0.005,BT71*Debts!D25/12,0)</f>
        <v/>
      </c>
      <c r="BV71" s="159" t="n">
        <v>0</v>
      </c>
      <c r="BW71" s="152">
        <f>MAX(0,BT71+BU71-BV71)</f>
        <v/>
      </c>
      <c r="BX71" s="152">
        <f>CA70</f>
        <v/>
      </c>
      <c r="BY71" s="159">
        <f>IF(BX71&gt;0.005,BX71*Debts!D26/12,0)</f>
        <v/>
      </c>
      <c r="BZ71" s="159" t="n">
        <v>0</v>
      </c>
      <c r="CA71" s="152">
        <f>MAX(0,BX71+BY71-BZ71)</f>
        <v/>
      </c>
      <c r="CB71" s="152">
        <f>CE70</f>
        <v/>
      </c>
      <c r="CC71" s="159">
        <f>IF(CB71&gt;0.005,CB71*Debts!D27/12,0)</f>
        <v/>
      </c>
      <c r="CD71" s="159" t="n">
        <v>0</v>
      </c>
      <c r="CE71" s="152">
        <f>MAX(0,CB71+CC71-CD71)</f>
        <v/>
      </c>
      <c r="CF71" s="152">
        <f>G71+K71+O71+S71+W71+AA71+AE71+AI71+AM71+AQ71+AU71+AY71+BC71+BG71+BK71+BO71+BS71+BW71+CA71+CE71</f>
        <v/>
      </c>
      <c r="CG71" s="159">
        <f>E71+I71+M71+Q71+U71+Y71+AC71+AG71+AK71+AO71+AS71+AW71+BA71+BE71+BI71+BM71+BQ71+BU71+BY71+CC71</f>
        <v/>
      </c>
      <c r="CH71" s="152">
        <f>CH70+CG71</f>
        <v/>
      </c>
      <c r="CI71" s="148" t="n"/>
      <c r="CJ71" s="148" t="n"/>
    </row>
    <row r="72" ht="15" customHeight="1" s="83">
      <c r="A72" s="148" t="n"/>
      <c r="B72" s="158" t="n">
        <v>68</v>
      </c>
      <c r="C72" s="152">
        <f>F72+J72+N72+R72+V72+Z72+AD72+AH72+AL72+AP72+AT72+AX72+BB72+BF72+BJ72+BN72+BR72+BV72+BZ72+CD72</f>
        <v/>
      </c>
      <c r="D72" s="152">
        <f>G71</f>
        <v/>
      </c>
      <c r="E72" s="159">
        <f>IF(D72&gt;0.005,D72*Debts!D8/12,0)</f>
        <v/>
      </c>
      <c r="F72" s="159" t="n">
        <v>0</v>
      </c>
      <c r="G72" s="152">
        <f>MAX(0,D72+E72-F72)</f>
        <v/>
      </c>
      <c r="H72" s="152">
        <f>K71</f>
        <v/>
      </c>
      <c r="I72" s="159">
        <f>IF(H72&gt;0.005,H72*Debts!D9/12,0)</f>
        <v/>
      </c>
      <c r="J72" s="159" t="n">
        <v>0</v>
      </c>
      <c r="K72" s="152">
        <f>MAX(0,H72+I72-J72)</f>
        <v/>
      </c>
      <c r="L72" s="152">
        <f>O71</f>
        <v/>
      </c>
      <c r="M72" s="159">
        <f>IF(L72&gt;0.005,L72*Debts!D10/12,0)</f>
        <v/>
      </c>
      <c r="N72" s="159" t="n">
        <v>0</v>
      </c>
      <c r="O72" s="152">
        <f>MAX(0,L72+M72-N72)</f>
        <v/>
      </c>
      <c r="P72" s="152">
        <f>S71</f>
        <v/>
      </c>
      <c r="Q72" s="159">
        <f>IF(P72&gt;0.005,P72*Debts!D11/12,0)</f>
        <v/>
      </c>
      <c r="R72" s="159" t="n">
        <v>0</v>
      </c>
      <c r="S72" s="152">
        <f>MAX(0,P72+Q72-R72)</f>
        <v/>
      </c>
      <c r="T72" s="152">
        <f>W71</f>
        <v/>
      </c>
      <c r="U72" s="159">
        <f>IF(T72&gt;0.005,T72*Debts!D12/12,0)</f>
        <v/>
      </c>
      <c r="V72" s="159" t="n">
        <v>0</v>
      </c>
      <c r="W72" s="152">
        <f>MAX(0,T72+U72-V72)</f>
        <v/>
      </c>
      <c r="X72" s="152">
        <f>AA71</f>
        <v/>
      </c>
      <c r="Y72" s="159">
        <f>IF(X72&gt;0.005,X72*Debts!D13/12,0)</f>
        <v/>
      </c>
      <c r="Z72" s="159" t="n">
        <v>0</v>
      </c>
      <c r="AA72" s="152">
        <f>MAX(0,X72+Y72-Z72)</f>
        <v/>
      </c>
      <c r="AB72" s="152">
        <f>AE71</f>
        <v/>
      </c>
      <c r="AC72" s="159">
        <f>IF(AB72&gt;0.005,AB72*Debts!D14/12,0)</f>
        <v/>
      </c>
      <c r="AD72" s="159" t="n">
        <v>0</v>
      </c>
      <c r="AE72" s="152">
        <f>MAX(0,AB72+AC72-AD72)</f>
        <v/>
      </c>
      <c r="AF72" s="152">
        <f>AI71</f>
        <v/>
      </c>
      <c r="AG72" s="159">
        <f>IF(AF72&gt;0.005,AF72*Debts!D15/12,0)</f>
        <v/>
      </c>
      <c r="AH72" s="159" t="n">
        <v>0</v>
      </c>
      <c r="AI72" s="152">
        <f>MAX(0,AF72+AG72-AH72)</f>
        <v/>
      </c>
      <c r="AJ72" s="152">
        <f>AM71</f>
        <v/>
      </c>
      <c r="AK72" s="159">
        <f>IF(AJ72&gt;0.005,AJ72*Debts!D16/12,0)</f>
        <v/>
      </c>
      <c r="AL72" s="159" t="n">
        <v>0</v>
      </c>
      <c r="AM72" s="152">
        <f>MAX(0,AJ72+AK72-AL72)</f>
        <v/>
      </c>
      <c r="AN72" s="152">
        <f>AQ71</f>
        <v/>
      </c>
      <c r="AO72" s="159">
        <f>IF(AN72&gt;0.005,AN72*Debts!D17/12,0)</f>
        <v/>
      </c>
      <c r="AP72" s="159" t="n">
        <v>0</v>
      </c>
      <c r="AQ72" s="152">
        <f>MAX(0,AN72+AO72-AP72)</f>
        <v/>
      </c>
      <c r="AR72" s="152">
        <f>AU71</f>
        <v/>
      </c>
      <c r="AS72" s="159">
        <f>IF(AR72&gt;0.005,AR72*Debts!D18/12,0)</f>
        <v/>
      </c>
      <c r="AT72" s="159" t="n">
        <v>0</v>
      </c>
      <c r="AU72" s="152">
        <f>MAX(0,AR72+AS72-AT72)</f>
        <v/>
      </c>
      <c r="AV72" s="152">
        <f>AY71</f>
        <v/>
      </c>
      <c r="AW72" s="159">
        <f>IF(AV72&gt;0.005,AV72*Debts!D19/12,0)</f>
        <v/>
      </c>
      <c r="AX72" s="159" t="n">
        <v>0</v>
      </c>
      <c r="AY72" s="152">
        <f>MAX(0,AV72+AW72-AX72)</f>
        <v/>
      </c>
      <c r="AZ72" s="152">
        <f>BC71</f>
        <v/>
      </c>
      <c r="BA72" s="159">
        <f>IF(AZ72&gt;0.005,AZ72*Debts!D20/12,0)</f>
        <v/>
      </c>
      <c r="BB72" s="159" t="n">
        <v>0</v>
      </c>
      <c r="BC72" s="152">
        <f>MAX(0,AZ72+BA72-BB72)</f>
        <v/>
      </c>
      <c r="BD72" s="152">
        <f>BG71</f>
        <v/>
      </c>
      <c r="BE72" s="159">
        <f>IF(BD72&gt;0.005,BD72*Debts!D21/12,0)</f>
        <v/>
      </c>
      <c r="BF72" s="159" t="n">
        <v>0</v>
      </c>
      <c r="BG72" s="152">
        <f>MAX(0,BD72+BE72-BF72)</f>
        <v/>
      </c>
      <c r="BH72" s="152">
        <f>BK71</f>
        <v/>
      </c>
      <c r="BI72" s="159">
        <f>IF(BH72&gt;0.005,BH72*Debts!D22/12,0)</f>
        <v/>
      </c>
      <c r="BJ72" s="159" t="n">
        <v>0</v>
      </c>
      <c r="BK72" s="152">
        <f>MAX(0,BH72+BI72-BJ72)</f>
        <v/>
      </c>
      <c r="BL72" s="152">
        <f>BO71</f>
        <v/>
      </c>
      <c r="BM72" s="159">
        <f>IF(BL72&gt;0.005,BL72*Debts!D23/12,0)</f>
        <v/>
      </c>
      <c r="BN72" s="159" t="n">
        <v>0</v>
      </c>
      <c r="BO72" s="152">
        <f>MAX(0,BL72+BM72-BN72)</f>
        <v/>
      </c>
      <c r="BP72" s="152">
        <f>BS71</f>
        <v/>
      </c>
      <c r="BQ72" s="159">
        <f>IF(BP72&gt;0.005,BP72*Debts!D24/12,0)</f>
        <v/>
      </c>
      <c r="BR72" s="159" t="n">
        <v>0</v>
      </c>
      <c r="BS72" s="152">
        <f>MAX(0,BP72+BQ72-BR72)</f>
        <v/>
      </c>
      <c r="BT72" s="152">
        <f>BW71</f>
        <v/>
      </c>
      <c r="BU72" s="159">
        <f>IF(BT72&gt;0.005,BT72*Debts!D25/12,0)</f>
        <v/>
      </c>
      <c r="BV72" s="159" t="n">
        <v>0</v>
      </c>
      <c r="BW72" s="152">
        <f>MAX(0,BT72+BU72-BV72)</f>
        <v/>
      </c>
      <c r="BX72" s="152">
        <f>CA71</f>
        <v/>
      </c>
      <c r="BY72" s="159">
        <f>IF(BX72&gt;0.005,BX72*Debts!D26/12,0)</f>
        <v/>
      </c>
      <c r="BZ72" s="159" t="n">
        <v>0</v>
      </c>
      <c r="CA72" s="152">
        <f>MAX(0,BX72+BY72-BZ72)</f>
        <v/>
      </c>
      <c r="CB72" s="152">
        <f>CE71</f>
        <v/>
      </c>
      <c r="CC72" s="159">
        <f>IF(CB72&gt;0.005,CB72*Debts!D27/12,0)</f>
        <v/>
      </c>
      <c r="CD72" s="159" t="n">
        <v>0</v>
      </c>
      <c r="CE72" s="152">
        <f>MAX(0,CB72+CC72-CD72)</f>
        <v/>
      </c>
      <c r="CF72" s="152">
        <f>G72+K72+O72+S72+W72+AA72+AE72+AI72+AM72+AQ72+AU72+AY72+BC72+BG72+BK72+BO72+BS72+BW72+CA72+CE72</f>
        <v/>
      </c>
      <c r="CG72" s="159">
        <f>E72+I72+M72+Q72+U72+Y72+AC72+AG72+AK72+AO72+AS72+AW72+BA72+BE72+BI72+BM72+BQ72+BU72+BY72+CC72</f>
        <v/>
      </c>
      <c r="CH72" s="152">
        <f>CH71+CG72</f>
        <v/>
      </c>
      <c r="CI72" s="148" t="n"/>
      <c r="CJ72" s="148" t="n"/>
    </row>
    <row r="73" ht="15" customHeight="1" s="83">
      <c r="A73" s="148" t="n"/>
      <c r="B73" s="158" t="n">
        <v>69</v>
      </c>
      <c r="C73" s="152">
        <f>F73+J73+N73+R73+V73+Z73+AD73+AH73+AL73+AP73+AT73+AX73+BB73+BF73+BJ73+BN73+BR73+BV73+BZ73+CD73</f>
        <v/>
      </c>
      <c r="D73" s="152">
        <f>G72</f>
        <v/>
      </c>
      <c r="E73" s="159">
        <f>IF(D73&gt;0.005,D73*Debts!D8/12,0)</f>
        <v/>
      </c>
      <c r="F73" s="159" t="n">
        <v>0</v>
      </c>
      <c r="G73" s="152">
        <f>MAX(0,D73+E73-F73)</f>
        <v/>
      </c>
      <c r="H73" s="152">
        <f>K72</f>
        <v/>
      </c>
      <c r="I73" s="159">
        <f>IF(H73&gt;0.005,H73*Debts!D9/12,0)</f>
        <v/>
      </c>
      <c r="J73" s="159" t="n">
        <v>0</v>
      </c>
      <c r="K73" s="152">
        <f>MAX(0,H73+I73-J73)</f>
        <v/>
      </c>
      <c r="L73" s="152">
        <f>O72</f>
        <v/>
      </c>
      <c r="M73" s="159">
        <f>IF(L73&gt;0.005,L73*Debts!D10/12,0)</f>
        <v/>
      </c>
      <c r="N73" s="159" t="n">
        <v>0</v>
      </c>
      <c r="O73" s="152">
        <f>MAX(0,L73+M73-N73)</f>
        <v/>
      </c>
      <c r="P73" s="152">
        <f>S72</f>
        <v/>
      </c>
      <c r="Q73" s="159">
        <f>IF(P73&gt;0.005,P73*Debts!D11/12,0)</f>
        <v/>
      </c>
      <c r="R73" s="159" t="n">
        <v>0</v>
      </c>
      <c r="S73" s="152">
        <f>MAX(0,P73+Q73-R73)</f>
        <v/>
      </c>
      <c r="T73" s="152">
        <f>W72</f>
        <v/>
      </c>
      <c r="U73" s="159">
        <f>IF(T73&gt;0.005,T73*Debts!D12/12,0)</f>
        <v/>
      </c>
      <c r="V73" s="159" t="n">
        <v>0</v>
      </c>
      <c r="W73" s="152">
        <f>MAX(0,T73+U73-V73)</f>
        <v/>
      </c>
      <c r="X73" s="152">
        <f>AA72</f>
        <v/>
      </c>
      <c r="Y73" s="159">
        <f>IF(X73&gt;0.005,X73*Debts!D13/12,0)</f>
        <v/>
      </c>
      <c r="Z73" s="159" t="n">
        <v>0</v>
      </c>
      <c r="AA73" s="152">
        <f>MAX(0,X73+Y73-Z73)</f>
        <v/>
      </c>
      <c r="AB73" s="152">
        <f>AE72</f>
        <v/>
      </c>
      <c r="AC73" s="159">
        <f>IF(AB73&gt;0.005,AB73*Debts!D14/12,0)</f>
        <v/>
      </c>
      <c r="AD73" s="159" t="n">
        <v>0</v>
      </c>
      <c r="AE73" s="152">
        <f>MAX(0,AB73+AC73-AD73)</f>
        <v/>
      </c>
      <c r="AF73" s="152">
        <f>AI72</f>
        <v/>
      </c>
      <c r="AG73" s="159">
        <f>IF(AF73&gt;0.005,AF73*Debts!D15/12,0)</f>
        <v/>
      </c>
      <c r="AH73" s="159" t="n">
        <v>0</v>
      </c>
      <c r="AI73" s="152">
        <f>MAX(0,AF73+AG73-AH73)</f>
        <v/>
      </c>
      <c r="AJ73" s="152">
        <f>AM72</f>
        <v/>
      </c>
      <c r="AK73" s="159">
        <f>IF(AJ73&gt;0.005,AJ73*Debts!D16/12,0)</f>
        <v/>
      </c>
      <c r="AL73" s="159" t="n">
        <v>0</v>
      </c>
      <c r="AM73" s="152">
        <f>MAX(0,AJ73+AK73-AL73)</f>
        <v/>
      </c>
      <c r="AN73" s="152">
        <f>AQ72</f>
        <v/>
      </c>
      <c r="AO73" s="159">
        <f>IF(AN73&gt;0.005,AN73*Debts!D17/12,0)</f>
        <v/>
      </c>
      <c r="AP73" s="159" t="n">
        <v>0</v>
      </c>
      <c r="AQ73" s="152">
        <f>MAX(0,AN73+AO73-AP73)</f>
        <v/>
      </c>
      <c r="AR73" s="152">
        <f>AU72</f>
        <v/>
      </c>
      <c r="AS73" s="159">
        <f>IF(AR73&gt;0.005,AR73*Debts!D18/12,0)</f>
        <v/>
      </c>
      <c r="AT73" s="159" t="n">
        <v>0</v>
      </c>
      <c r="AU73" s="152">
        <f>MAX(0,AR73+AS73-AT73)</f>
        <v/>
      </c>
      <c r="AV73" s="152">
        <f>AY72</f>
        <v/>
      </c>
      <c r="AW73" s="159">
        <f>IF(AV73&gt;0.005,AV73*Debts!D19/12,0)</f>
        <v/>
      </c>
      <c r="AX73" s="159" t="n">
        <v>0</v>
      </c>
      <c r="AY73" s="152">
        <f>MAX(0,AV73+AW73-AX73)</f>
        <v/>
      </c>
      <c r="AZ73" s="152">
        <f>BC72</f>
        <v/>
      </c>
      <c r="BA73" s="159">
        <f>IF(AZ73&gt;0.005,AZ73*Debts!D20/12,0)</f>
        <v/>
      </c>
      <c r="BB73" s="159" t="n">
        <v>0</v>
      </c>
      <c r="BC73" s="152">
        <f>MAX(0,AZ73+BA73-BB73)</f>
        <v/>
      </c>
      <c r="BD73" s="152">
        <f>BG72</f>
        <v/>
      </c>
      <c r="BE73" s="159">
        <f>IF(BD73&gt;0.005,BD73*Debts!D21/12,0)</f>
        <v/>
      </c>
      <c r="BF73" s="159" t="n">
        <v>0</v>
      </c>
      <c r="BG73" s="152">
        <f>MAX(0,BD73+BE73-BF73)</f>
        <v/>
      </c>
      <c r="BH73" s="152">
        <f>BK72</f>
        <v/>
      </c>
      <c r="BI73" s="159">
        <f>IF(BH73&gt;0.005,BH73*Debts!D22/12,0)</f>
        <v/>
      </c>
      <c r="BJ73" s="159" t="n">
        <v>0</v>
      </c>
      <c r="BK73" s="152">
        <f>MAX(0,BH73+BI73-BJ73)</f>
        <v/>
      </c>
      <c r="BL73" s="152">
        <f>BO72</f>
        <v/>
      </c>
      <c r="BM73" s="159">
        <f>IF(BL73&gt;0.005,BL73*Debts!D23/12,0)</f>
        <v/>
      </c>
      <c r="BN73" s="159" t="n">
        <v>0</v>
      </c>
      <c r="BO73" s="152">
        <f>MAX(0,BL73+BM73-BN73)</f>
        <v/>
      </c>
      <c r="BP73" s="152">
        <f>BS72</f>
        <v/>
      </c>
      <c r="BQ73" s="159">
        <f>IF(BP73&gt;0.005,BP73*Debts!D24/12,0)</f>
        <v/>
      </c>
      <c r="BR73" s="159" t="n">
        <v>0</v>
      </c>
      <c r="BS73" s="152">
        <f>MAX(0,BP73+BQ73-BR73)</f>
        <v/>
      </c>
      <c r="BT73" s="152">
        <f>BW72</f>
        <v/>
      </c>
      <c r="BU73" s="159">
        <f>IF(BT73&gt;0.005,BT73*Debts!D25/12,0)</f>
        <v/>
      </c>
      <c r="BV73" s="159" t="n">
        <v>0</v>
      </c>
      <c r="BW73" s="152">
        <f>MAX(0,BT73+BU73-BV73)</f>
        <v/>
      </c>
      <c r="BX73" s="152">
        <f>CA72</f>
        <v/>
      </c>
      <c r="BY73" s="159">
        <f>IF(BX73&gt;0.005,BX73*Debts!D26/12,0)</f>
        <v/>
      </c>
      <c r="BZ73" s="159" t="n">
        <v>0</v>
      </c>
      <c r="CA73" s="152">
        <f>MAX(0,BX73+BY73-BZ73)</f>
        <v/>
      </c>
      <c r="CB73" s="152">
        <f>CE72</f>
        <v/>
      </c>
      <c r="CC73" s="159">
        <f>IF(CB73&gt;0.005,CB73*Debts!D27/12,0)</f>
        <v/>
      </c>
      <c r="CD73" s="159" t="n">
        <v>0</v>
      </c>
      <c r="CE73" s="152">
        <f>MAX(0,CB73+CC73-CD73)</f>
        <v/>
      </c>
      <c r="CF73" s="152">
        <f>G73+K73+O73+S73+W73+AA73+AE73+AI73+AM73+AQ73+AU73+AY73+BC73+BG73+BK73+BO73+BS73+BW73+CA73+CE73</f>
        <v/>
      </c>
      <c r="CG73" s="159">
        <f>E73+I73+M73+Q73+U73+Y73+AC73+AG73+AK73+AO73+AS73+AW73+BA73+BE73+BI73+BM73+BQ73+BU73+BY73+CC73</f>
        <v/>
      </c>
      <c r="CH73" s="152">
        <f>CH72+CG73</f>
        <v/>
      </c>
      <c r="CI73" s="148" t="n"/>
      <c r="CJ73" s="148" t="n"/>
    </row>
    <row r="74" ht="15" customHeight="1" s="83">
      <c r="A74" s="148" t="n"/>
      <c r="B74" s="158" t="n">
        <v>70</v>
      </c>
      <c r="C74" s="152">
        <f>F74+J74+N74+R74+V74+Z74+AD74+AH74+AL74+AP74+AT74+AX74+BB74+BF74+BJ74+BN74+BR74+BV74+BZ74+CD74</f>
        <v/>
      </c>
      <c r="D74" s="152">
        <f>G73</f>
        <v/>
      </c>
      <c r="E74" s="159">
        <f>IF(D74&gt;0.005,D74*Debts!D8/12,0)</f>
        <v/>
      </c>
      <c r="F74" s="159" t="n">
        <v>0</v>
      </c>
      <c r="G74" s="152">
        <f>MAX(0,D74+E74-F74)</f>
        <v/>
      </c>
      <c r="H74" s="152">
        <f>K73</f>
        <v/>
      </c>
      <c r="I74" s="159">
        <f>IF(H74&gt;0.005,H74*Debts!D9/12,0)</f>
        <v/>
      </c>
      <c r="J74" s="159" t="n">
        <v>0</v>
      </c>
      <c r="K74" s="152">
        <f>MAX(0,H74+I74-J74)</f>
        <v/>
      </c>
      <c r="L74" s="152">
        <f>O73</f>
        <v/>
      </c>
      <c r="M74" s="159">
        <f>IF(L74&gt;0.005,L74*Debts!D10/12,0)</f>
        <v/>
      </c>
      <c r="N74" s="159" t="n">
        <v>0</v>
      </c>
      <c r="O74" s="152">
        <f>MAX(0,L74+M74-N74)</f>
        <v/>
      </c>
      <c r="P74" s="152">
        <f>S73</f>
        <v/>
      </c>
      <c r="Q74" s="159">
        <f>IF(P74&gt;0.005,P74*Debts!D11/12,0)</f>
        <v/>
      </c>
      <c r="R74" s="159" t="n">
        <v>0</v>
      </c>
      <c r="S74" s="152">
        <f>MAX(0,P74+Q74-R74)</f>
        <v/>
      </c>
      <c r="T74" s="152">
        <f>W73</f>
        <v/>
      </c>
      <c r="U74" s="159">
        <f>IF(T74&gt;0.005,T74*Debts!D12/12,0)</f>
        <v/>
      </c>
      <c r="V74" s="159" t="n">
        <v>0</v>
      </c>
      <c r="W74" s="152">
        <f>MAX(0,T74+U74-V74)</f>
        <v/>
      </c>
      <c r="X74" s="152">
        <f>AA73</f>
        <v/>
      </c>
      <c r="Y74" s="159">
        <f>IF(X74&gt;0.005,X74*Debts!D13/12,0)</f>
        <v/>
      </c>
      <c r="Z74" s="159" t="n">
        <v>0</v>
      </c>
      <c r="AA74" s="152">
        <f>MAX(0,X74+Y74-Z74)</f>
        <v/>
      </c>
      <c r="AB74" s="152">
        <f>AE73</f>
        <v/>
      </c>
      <c r="AC74" s="159">
        <f>IF(AB74&gt;0.005,AB74*Debts!D14/12,0)</f>
        <v/>
      </c>
      <c r="AD74" s="159" t="n">
        <v>0</v>
      </c>
      <c r="AE74" s="152">
        <f>MAX(0,AB74+AC74-AD74)</f>
        <v/>
      </c>
      <c r="AF74" s="152">
        <f>AI73</f>
        <v/>
      </c>
      <c r="AG74" s="159">
        <f>IF(AF74&gt;0.005,AF74*Debts!D15/12,0)</f>
        <v/>
      </c>
      <c r="AH74" s="159" t="n">
        <v>0</v>
      </c>
      <c r="AI74" s="152">
        <f>MAX(0,AF74+AG74-AH74)</f>
        <v/>
      </c>
      <c r="AJ74" s="152">
        <f>AM73</f>
        <v/>
      </c>
      <c r="AK74" s="159">
        <f>IF(AJ74&gt;0.005,AJ74*Debts!D16/12,0)</f>
        <v/>
      </c>
      <c r="AL74" s="159" t="n">
        <v>0</v>
      </c>
      <c r="AM74" s="152">
        <f>MAX(0,AJ74+AK74-AL74)</f>
        <v/>
      </c>
      <c r="AN74" s="152">
        <f>AQ73</f>
        <v/>
      </c>
      <c r="AO74" s="159">
        <f>IF(AN74&gt;0.005,AN74*Debts!D17/12,0)</f>
        <v/>
      </c>
      <c r="AP74" s="159" t="n">
        <v>0</v>
      </c>
      <c r="AQ74" s="152">
        <f>MAX(0,AN74+AO74-AP74)</f>
        <v/>
      </c>
      <c r="AR74" s="152">
        <f>AU73</f>
        <v/>
      </c>
      <c r="AS74" s="159">
        <f>IF(AR74&gt;0.005,AR74*Debts!D18/12,0)</f>
        <v/>
      </c>
      <c r="AT74" s="159" t="n">
        <v>0</v>
      </c>
      <c r="AU74" s="152">
        <f>MAX(0,AR74+AS74-AT74)</f>
        <v/>
      </c>
      <c r="AV74" s="152">
        <f>AY73</f>
        <v/>
      </c>
      <c r="AW74" s="159">
        <f>IF(AV74&gt;0.005,AV74*Debts!D19/12,0)</f>
        <v/>
      </c>
      <c r="AX74" s="159" t="n">
        <v>0</v>
      </c>
      <c r="AY74" s="152">
        <f>MAX(0,AV74+AW74-AX74)</f>
        <v/>
      </c>
      <c r="AZ74" s="152">
        <f>BC73</f>
        <v/>
      </c>
      <c r="BA74" s="159">
        <f>IF(AZ74&gt;0.005,AZ74*Debts!D20/12,0)</f>
        <v/>
      </c>
      <c r="BB74" s="159" t="n">
        <v>0</v>
      </c>
      <c r="BC74" s="152">
        <f>MAX(0,AZ74+BA74-BB74)</f>
        <v/>
      </c>
      <c r="BD74" s="152">
        <f>BG73</f>
        <v/>
      </c>
      <c r="BE74" s="159">
        <f>IF(BD74&gt;0.005,BD74*Debts!D21/12,0)</f>
        <v/>
      </c>
      <c r="BF74" s="159" t="n">
        <v>0</v>
      </c>
      <c r="BG74" s="152">
        <f>MAX(0,BD74+BE74-BF74)</f>
        <v/>
      </c>
      <c r="BH74" s="152">
        <f>BK73</f>
        <v/>
      </c>
      <c r="BI74" s="159">
        <f>IF(BH74&gt;0.005,BH74*Debts!D22/12,0)</f>
        <v/>
      </c>
      <c r="BJ74" s="159" t="n">
        <v>0</v>
      </c>
      <c r="BK74" s="152">
        <f>MAX(0,BH74+BI74-BJ74)</f>
        <v/>
      </c>
      <c r="BL74" s="152">
        <f>BO73</f>
        <v/>
      </c>
      <c r="BM74" s="159">
        <f>IF(BL74&gt;0.005,BL74*Debts!D23/12,0)</f>
        <v/>
      </c>
      <c r="BN74" s="159" t="n">
        <v>0</v>
      </c>
      <c r="BO74" s="152">
        <f>MAX(0,BL74+BM74-BN74)</f>
        <v/>
      </c>
      <c r="BP74" s="152">
        <f>BS73</f>
        <v/>
      </c>
      <c r="BQ74" s="159">
        <f>IF(BP74&gt;0.005,BP74*Debts!D24/12,0)</f>
        <v/>
      </c>
      <c r="BR74" s="159" t="n">
        <v>0</v>
      </c>
      <c r="BS74" s="152">
        <f>MAX(0,BP74+BQ74-BR74)</f>
        <v/>
      </c>
      <c r="BT74" s="152">
        <f>BW73</f>
        <v/>
      </c>
      <c r="BU74" s="159">
        <f>IF(BT74&gt;0.005,BT74*Debts!D25/12,0)</f>
        <v/>
      </c>
      <c r="BV74" s="159" t="n">
        <v>0</v>
      </c>
      <c r="BW74" s="152">
        <f>MAX(0,BT74+BU74-BV74)</f>
        <v/>
      </c>
      <c r="BX74" s="152">
        <f>CA73</f>
        <v/>
      </c>
      <c r="BY74" s="159">
        <f>IF(BX74&gt;0.005,BX74*Debts!D26/12,0)</f>
        <v/>
      </c>
      <c r="BZ74" s="159" t="n">
        <v>0</v>
      </c>
      <c r="CA74" s="152">
        <f>MAX(0,BX74+BY74-BZ74)</f>
        <v/>
      </c>
      <c r="CB74" s="152">
        <f>CE73</f>
        <v/>
      </c>
      <c r="CC74" s="159">
        <f>IF(CB74&gt;0.005,CB74*Debts!D27/12,0)</f>
        <v/>
      </c>
      <c r="CD74" s="159" t="n">
        <v>0</v>
      </c>
      <c r="CE74" s="152">
        <f>MAX(0,CB74+CC74-CD74)</f>
        <v/>
      </c>
      <c r="CF74" s="152">
        <f>G74+K74+O74+S74+W74+AA74+AE74+AI74+AM74+AQ74+AU74+AY74+BC74+BG74+BK74+BO74+BS74+BW74+CA74+CE74</f>
        <v/>
      </c>
      <c r="CG74" s="159">
        <f>E74+I74+M74+Q74+U74+Y74+AC74+AG74+AK74+AO74+AS74+AW74+BA74+BE74+BI74+BM74+BQ74+BU74+BY74+CC74</f>
        <v/>
      </c>
      <c r="CH74" s="152">
        <f>CH73+CG74</f>
        <v/>
      </c>
      <c r="CI74" s="148" t="n"/>
      <c r="CJ74" s="148" t="n"/>
    </row>
    <row r="75" ht="15" customHeight="1" s="83">
      <c r="A75" s="148" t="n"/>
      <c r="B75" s="158" t="n">
        <v>71</v>
      </c>
      <c r="C75" s="152">
        <f>F75+J75+N75+R75+V75+Z75+AD75+AH75+AL75+AP75+AT75+AX75+BB75+BF75+BJ75+BN75+BR75+BV75+BZ75+CD75</f>
        <v/>
      </c>
      <c r="D75" s="152">
        <f>G74</f>
        <v/>
      </c>
      <c r="E75" s="159">
        <f>IF(D75&gt;0.005,D75*Debts!D8/12,0)</f>
        <v/>
      </c>
      <c r="F75" s="159" t="n">
        <v>0</v>
      </c>
      <c r="G75" s="152">
        <f>MAX(0,D75+E75-F75)</f>
        <v/>
      </c>
      <c r="H75" s="152">
        <f>K74</f>
        <v/>
      </c>
      <c r="I75" s="159">
        <f>IF(H75&gt;0.005,H75*Debts!D9/12,0)</f>
        <v/>
      </c>
      <c r="J75" s="159" t="n">
        <v>0</v>
      </c>
      <c r="K75" s="152">
        <f>MAX(0,H75+I75-J75)</f>
        <v/>
      </c>
      <c r="L75" s="152">
        <f>O74</f>
        <v/>
      </c>
      <c r="M75" s="159">
        <f>IF(L75&gt;0.005,L75*Debts!D10/12,0)</f>
        <v/>
      </c>
      <c r="N75" s="159" t="n">
        <v>0</v>
      </c>
      <c r="O75" s="152">
        <f>MAX(0,L75+M75-N75)</f>
        <v/>
      </c>
      <c r="P75" s="152">
        <f>S74</f>
        <v/>
      </c>
      <c r="Q75" s="159">
        <f>IF(P75&gt;0.005,P75*Debts!D11/12,0)</f>
        <v/>
      </c>
      <c r="R75" s="159" t="n">
        <v>0</v>
      </c>
      <c r="S75" s="152">
        <f>MAX(0,P75+Q75-R75)</f>
        <v/>
      </c>
      <c r="T75" s="152">
        <f>W74</f>
        <v/>
      </c>
      <c r="U75" s="159">
        <f>IF(T75&gt;0.005,T75*Debts!D12/12,0)</f>
        <v/>
      </c>
      <c r="V75" s="159" t="n">
        <v>0</v>
      </c>
      <c r="W75" s="152">
        <f>MAX(0,T75+U75-V75)</f>
        <v/>
      </c>
      <c r="X75" s="152">
        <f>AA74</f>
        <v/>
      </c>
      <c r="Y75" s="159">
        <f>IF(X75&gt;0.005,X75*Debts!D13/12,0)</f>
        <v/>
      </c>
      <c r="Z75" s="159" t="n">
        <v>0</v>
      </c>
      <c r="AA75" s="152">
        <f>MAX(0,X75+Y75-Z75)</f>
        <v/>
      </c>
      <c r="AB75" s="152">
        <f>AE74</f>
        <v/>
      </c>
      <c r="AC75" s="159">
        <f>IF(AB75&gt;0.005,AB75*Debts!D14/12,0)</f>
        <v/>
      </c>
      <c r="AD75" s="159" t="n">
        <v>0</v>
      </c>
      <c r="AE75" s="152">
        <f>MAX(0,AB75+AC75-AD75)</f>
        <v/>
      </c>
      <c r="AF75" s="152">
        <f>AI74</f>
        <v/>
      </c>
      <c r="AG75" s="159">
        <f>IF(AF75&gt;0.005,AF75*Debts!D15/12,0)</f>
        <v/>
      </c>
      <c r="AH75" s="159" t="n">
        <v>0</v>
      </c>
      <c r="AI75" s="152">
        <f>MAX(0,AF75+AG75-AH75)</f>
        <v/>
      </c>
      <c r="AJ75" s="152">
        <f>AM74</f>
        <v/>
      </c>
      <c r="AK75" s="159">
        <f>IF(AJ75&gt;0.005,AJ75*Debts!D16/12,0)</f>
        <v/>
      </c>
      <c r="AL75" s="159" t="n">
        <v>0</v>
      </c>
      <c r="AM75" s="152">
        <f>MAX(0,AJ75+AK75-AL75)</f>
        <v/>
      </c>
      <c r="AN75" s="152">
        <f>AQ74</f>
        <v/>
      </c>
      <c r="AO75" s="159">
        <f>IF(AN75&gt;0.005,AN75*Debts!D17/12,0)</f>
        <v/>
      </c>
      <c r="AP75" s="159" t="n">
        <v>0</v>
      </c>
      <c r="AQ75" s="152">
        <f>MAX(0,AN75+AO75-AP75)</f>
        <v/>
      </c>
      <c r="AR75" s="152">
        <f>AU74</f>
        <v/>
      </c>
      <c r="AS75" s="159">
        <f>IF(AR75&gt;0.005,AR75*Debts!D18/12,0)</f>
        <v/>
      </c>
      <c r="AT75" s="159" t="n">
        <v>0</v>
      </c>
      <c r="AU75" s="152">
        <f>MAX(0,AR75+AS75-AT75)</f>
        <v/>
      </c>
      <c r="AV75" s="152">
        <f>AY74</f>
        <v/>
      </c>
      <c r="AW75" s="159">
        <f>IF(AV75&gt;0.005,AV75*Debts!D19/12,0)</f>
        <v/>
      </c>
      <c r="AX75" s="159" t="n">
        <v>0</v>
      </c>
      <c r="AY75" s="152">
        <f>MAX(0,AV75+AW75-AX75)</f>
        <v/>
      </c>
      <c r="AZ75" s="152">
        <f>BC74</f>
        <v/>
      </c>
      <c r="BA75" s="159">
        <f>IF(AZ75&gt;0.005,AZ75*Debts!D20/12,0)</f>
        <v/>
      </c>
      <c r="BB75" s="159" t="n">
        <v>0</v>
      </c>
      <c r="BC75" s="152">
        <f>MAX(0,AZ75+BA75-BB75)</f>
        <v/>
      </c>
      <c r="BD75" s="152">
        <f>BG74</f>
        <v/>
      </c>
      <c r="BE75" s="159">
        <f>IF(BD75&gt;0.005,BD75*Debts!D21/12,0)</f>
        <v/>
      </c>
      <c r="BF75" s="159" t="n">
        <v>0</v>
      </c>
      <c r="BG75" s="152">
        <f>MAX(0,BD75+BE75-BF75)</f>
        <v/>
      </c>
      <c r="BH75" s="152">
        <f>BK74</f>
        <v/>
      </c>
      <c r="BI75" s="159">
        <f>IF(BH75&gt;0.005,BH75*Debts!D22/12,0)</f>
        <v/>
      </c>
      <c r="BJ75" s="159" t="n">
        <v>0</v>
      </c>
      <c r="BK75" s="152">
        <f>MAX(0,BH75+BI75-BJ75)</f>
        <v/>
      </c>
      <c r="BL75" s="152">
        <f>BO74</f>
        <v/>
      </c>
      <c r="BM75" s="159">
        <f>IF(BL75&gt;0.005,BL75*Debts!D23/12,0)</f>
        <v/>
      </c>
      <c r="BN75" s="159" t="n">
        <v>0</v>
      </c>
      <c r="BO75" s="152">
        <f>MAX(0,BL75+BM75-BN75)</f>
        <v/>
      </c>
      <c r="BP75" s="152">
        <f>BS74</f>
        <v/>
      </c>
      <c r="BQ75" s="159">
        <f>IF(BP75&gt;0.005,BP75*Debts!D24/12,0)</f>
        <v/>
      </c>
      <c r="BR75" s="159" t="n">
        <v>0</v>
      </c>
      <c r="BS75" s="152">
        <f>MAX(0,BP75+BQ75-BR75)</f>
        <v/>
      </c>
      <c r="BT75" s="152">
        <f>BW74</f>
        <v/>
      </c>
      <c r="BU75" s="159">
        <f>IF(BT75&gt;0.005,BT75*Debts!D25/12,0)</f>
        <v/>
      </c>
      <c r="BV75" s="159" t="n">
        <v>0</v>
      </c>
      <c r="BW75" s="152">
        <f>MAX(0,BT75+BU75-BV75)</f>
        <v/>
      </c>
      <c r="BX75" s="152">
        <f>CA74</f>
        <v/>
      </c>
      <c r="BY75" s="159">
        <f>IF(BX75&gt;0.005,BX75*Debts!D26/12,0)</f>
        <v/>
      </c>
      <c r="BZ75" s="159" t="n">
        <v>0</v>
      </c>
      <c r="CA75" s="152">
        <f>MAX(0,BX75+BY75-BZ75)</f>
        <v/>
      </c>
      <c r="CB75" s="152">
        <f>CE74</f>
        <v/>
      </c>
      <c r="CC75" s="159">
        <f>IF(CB75&gt;0.005,CB75*Debts!D27/12,0)</f>
        <v/>
      </c>
      <c r="CD75" s="159" t="n">
        <v>0</v>
      </c>
      <c r="CE75" s="152">
        <f>MAX(0,CB75+CC75-CD75)</f>
        <v/>
      </c>
      <c r="CF75" s="152">
        <f>G75+K75+O75+S75+W75+AA75+AE75+AI75+AM75+AQ75+AU75+AY75+BC75+BG75+BK75+BO75+BS75+BW75+CA75+CE75</f>
        <v/>
      </c>
      <c r="CG75" s="159">
        <f>E75+I75+M75+Q75+U75+Y75+AC75+AG75+AK75+AO75+AS75+AW75+BA75+BE75+BI75+BM75+BQ75+BU75+BY75+CC75</f>
        <v/>
      </c>
      <c r="CH75" s="152">
        <f>CH74+CG75</f>
        <v/>
      </c>
      <c r="CI75" s="148" t="n"/>
      <c r="CJ75" s="148" t="n"/>
    </row>
    <row r="76" ht="15" customHeight="1" s="83">
      <c r="A76" s="148" t="n"/>
      <c r="B76" s="158" t="n">
        <v>72</v>
      </c>
      <c r="C76" s="152">
        <f>F76+J76+N76+R76+V76+Z76+AD76+AH76+AL76+AP76+AT76+AX76+BB76+BF76+BJ76+BN76+BR76+BV76+BZ76+CD76</f>
        <v/>
      </c>
      <c r="D76" s="152">
        <f>G75</f>
        <v/>
      </c>
      <c r="E76" s="159">
        <f>IF(D76&gt;0.005,D76*Debts!D8/12,0)</f>
        <v/>
      </c>
      <c r="F76" s="159" t="n">
        <v>0</v>
      </c>
      <c r="G76" s="152">
        <f>MAX(0,D76+E76-F76)</f>
        <v/>
      </c>
      <c r="H76" s="152">
        <f>K75</f>
        <v/>
      </c>
      <c r="I76" s="159">
        <f>IF(H76&gt;0.005,H76*Debts!D9/12,0)</f>
        <v/>
      </c>
      <c r="J76" s="159" t="n">
        <v>0</v>
      </c>
      <c r="K76" s="152">
        <f>MAX(0,H76+I76-J76)</f>
        <v/>
      </c>
      <c r="L76" s="152">
        <f>O75</f>
        <v/>
      </c>
      <c r="M76" s="159">
        <f>IF(L76&gt;0.005,L76*Debts!D10/12,0)</f>
        <v/>
      </c>
      <c r="N76" s="159" t="n">
        <v>0</v>
      </c>
      <c r="O76" s="152">
        <f>MAX(0,L76+M76-N76)</f>
        <v/>
      </c>
      <c r="P76" s="152">
        <f>S75</f>
        <v/>
      </c>
      <c r="Q76" s="159">
        <f>IF(P76&gt;0.005,P76*Debts!D11/12,0)</f>
        <v/>
      </c>
      <c r="R76" s="159" t="n">
        <v>0</v>
      </c>
      <c r="S76" s="152">
        <f>MAX(0,P76+Q76-R76)</f>
        <v/>
      </c>
      <c r="T76" s="152">
        <f>W75</f>
        <v/>
      </c>
      <c r="U76" s="159">
        <f>IF(T76&gt;0.005,T76*Debts!D12/12,0)</f>
        <v/>
      </c>
      <c r="V76" s="159" t="n">
        <v>0</v>
      </c>
      <c r="W76" s="152">
        <f>MAX(0,T76+U76-V76)</f>
        <v/>
      </c>
      <c r="X76" s="152">
        <f>AA75</f>
        <v/>
      </c>
      <c r="Y76" s="159">
        <f>IF(X76&gt;0.005,X76*Debts!D13/12,0)</f>
        <v/>
      </c>
      <c r="Z76" s="159" t="n">
        <v>0</v>
      </c>
      <c r="AA76" s="152">
        <f>MAX(0,X76+Y76-Z76)</f>
        <v/>
      </c>
      <c r="AB76" s="152">
        <f>AE75</f>
        <v/>
      </c>
      <c r="AC76" s="159">
        <f>IF(AB76&gt;0.005,AB76*Debts!D14/12,0)</f>
        <v/>
      </c>
      <c r="AD76" s="159" t="n">
        <v>0</v>
      </c>
      <c r="AE76" s="152">
        <f>MAX(0,AB76+AC76-AD76)</f>
        <v/>
      </c>
      <c r="AF76" s="152">
        <f>AI75</f>
        <v/>
      </c>
      <c r="AG76" s="159">
        <f>IF(AF76&gt;0.005,AF76*Debts!D15/12,0)</f>
        <v/>
      </c>
      <c r="AH76" s="159" t="n">
        <v>0</v>
      </c>
      <c r="AI76" s="152">
        <f>MAX(0,AF76+AG76-AH76)</f>
        <v/>
      </c>
      <c r="AJ76" s="152">
        <f>AM75</f>
        <v/>
      </c>
      <c r="AK76" s="159">
        <f>IF(AJ76&gt;0.005,AJ76*Debts!D16/12,0)</f>
        <v/>
      </c>
      <c r="AL76" s="159" t="n">
        <v>0</v>
      </c>
      <c r="AM76" s="152">
        <f>MAX(0,AJ76+AK76-AL76)</f>
        <v/>
      </c>
      <c r="AN76" s="152">
        <f>AQ75</f>
        <v/>
      </c>
      <c r="AO76" s="159">
        <f>IF(AN76&gt;0.005,AN76*Debts!D17/12,0)</f>
        <v/>
      </c>
      <c r="AP76" s="159" t="n">
        <v>0</v>
      </c>
      <c r="AQ76" s="152">
        <f>MAX(0,AN76+AO76-AP76)</f>
        <v/>
      </c>
      <c r="AR76" s="152">
        <f>AU75</f>
        <v/>
      </c>
      <c r="AS76" s="159">
        <f>IF(AR76&gt;0.005,AR76*Debts!D18/12,0)</f>
        <v/>
      </c>
      <c r="AT76" s="159" t="n">
        <v>0</v>
      </c>
      <c r="AU76" s="152">
        <f>MAX(0,AR76+AS76-AT76)</f>
        <v/>
      </c>
      <c r="AV76" s="152">
        <f>AY75</f>
        <v/>
      </c>
      <c r="AW76" s="159">
        <f>IF(AV76&gt;0.005,AV76*Debts!D19/12,0)</f>
        <v/>
      </c>
      <c r="AX76" s="159" t="n">
        <v>0</v>
      </c>
      <c r="AY76" s="152">
        <f>MAX(0,AV76+AW76-AX76)</f>
        <v/>
      </c>
      <c r="AZ76" s="152">
        <f>BC75</f>
        <v/>
      </c>
      <c r="BA76" s="159">
        <f>IF(AZ76&gt;0.005,AZ76*Debts!D20/12,0)</f>
        <v/>
      </c>
      <c r="BB76" s="159" t="n">
        <v>0</v>
      </c>
      <c r="BC76" s="152">
        <f>MAX(0,AZ76+BA76-BB76)</f>
        <v/>
      </c>
      <c r="BD76" s="152">
        <f>BG75</f>
        <v/>
      </c>
      <c r="BE76" s="159">
        <f>IF(BD76&gt;0.005,BD76*Debts!D21/12,0)</f>
        <v/>
      </c>
      <c r="BF76" s="159" t="n">
        <v>0</v>
      </c>
      <c r="BG76" s="152">
        <f>MAX(0,BD76+BE76-BF76)</f>
        <v/>
      </c>
      <c r="BH76" s="152">
        <f>BK75</f>
        <v/>
      </c>
      <c r="BI76" s="159">
        <f>IF(BH76&gt;0.005,BH76*Debts!D22/12,0)</f>
        <v/>
      </c>
      <c r="BJ76" s="159" t="n">
        <v>0</v>
      </c>
      <c r="BK76" s="152">
        <f>MAX(0,BH76+BI76-BJ76)</f>
        <v/>
      </c>
      <c r="BL76" s="152">
        <f>BO75</f>
        <v/>
      </c>
      <c r="BM76" s="159">
        <f>IF(BL76&gt;0.005,BL76*Debts!D23/12,0)</f>
        <v/>
      </c>
      <c r="BN76" s="159" t="n">
        <v>0</v>
      </c>
      <c r="BO76" s="152">
        <f>MAX(0,BL76+BM76-BN76)</f>
        <v/>
      </c>
      <c r="BP76" s="152">
        <f>BS75</f>
        <v/>
      </c>
      <c r="BQ76" s="159">
        <f>IF(BP76&gt;0.005,BP76*Debts!D24/12,0)</f>
        <v/>
      </c>
      <c r="BR76" s="159" t="n">
        <v>0</v>
      </c>
      <c r="BS76" s="152">
        <f>MAX(0,BP76+BQ76-BR76)</f>
        <v/>
      </c>
      <c r="BT76" s="152">
        <f>BW75</f>
        <v/>
      </c>
      <c r="BU76" s="159">
        <f>IF(BT76&gt;0.005,BT76*Debts!D25/12,0)</f>
        <v/>
      </c>
      <c r="BV76" s="159" t="n">
        <v>0</v>
      </c>
      <c r="BW76" s="152">
        <f>MAX(0,BT76+BU76-BV76)</f>
        <v/>
      </c>
      <c r="BX76" s="152">
        <f>CA75</f>
        <v/>
      </c>
      <c r="BY76" s="159">
        <f>IF(BX76&gt;0.005,BX76*Debts!D26/12,0)</f>
        <v/>
      </c>
      <c r="BZ76" s="159" t="n">
        <v>0</v>
      </c>
      <c r="CA76" s="152">
        <f>MAX(0,BX76+BY76-BZ76)</f>
        <v/>
      </c>
      <c r="CB76" s="152">
        <f>CE75</f>
        <v/>
      </c>
      <c r="CC76" s="159">
        <f>IF(CB76&gt;0.005,CB76*Debts!D27/12,0)</f>
        <v/>
      </c>
      <c r="CD76" s="159" t="n">
        <v>0</v>
      </c>
      <c r="CE76" s="152">
        <f>MAX(0,CB76+CC76-CD76)</f>
        <v/>
      </c>
      <c r="CF76" s="152">
        <f>G76+K76+O76+S76+W76+AA76+AE76+AI76+AM76+AQ76+AU76+AY76+BC76+BG76+BK76+BO76+BS76+BW76+CA76+CE76</f>
        <v/>
      </c>
      <c r="CG76" s="159">
        <f>E76+I76+M76+Q76+U76+Y76+AC76+AG76+AK76+AO76+AS76+AW76+BA76+BE76+BI76+BM76+BQ76+BU76+BY76+CC76</f>
        <v/>
      </c>
      <c r="CH76" s="152">
        <f>CH75+CG76</f>
        <v/>
      </c>
      <c r="CI76" s="148" t="n"/>
      <c r="CJ76" s="148" t="n"/>
    </row>
    <row r="77" ht="15" customHeight="1" s="83">
      <c r="A77" s="148" t="n"/>
      <c r="B77" s="158" t="n">
        <v>73</v>
      </c>
      <c r="C77" s="152">
        <f>F77+J77+N77+R77+V77+Z77+AD77+AH77+AL77+AP77+AT77+AX77+BB77+BF77+BJ77+BN77+BR77+BV77+BZ77+CD77</f>
        <v/>
      </c>
      <c r="D77" s="152">
        <f>G76</f>
        <v/>
      </c>
      <c r="E77" s="159">
        <f>IF(D77&gt;0.005,D77*Debts!D8/12,0)</f>
        <v/>
      </c>
      <c r="F77" s="159" t="n">
        <v>0</v>
      </c>
      <c r="G77" s="152">
        <f>MAX(0,D77+E77-F77)</f>
        <v/>
      </c>
      <c r="H77" s="152">
        <f>K76</f>
        <v/>
      </c>
      <c r="I77" s="159">
        <f>IF(H77&gt;0.005,H77*Debts!D9/12,0)</f>
        <v/>
      </c>
      <c r="J77" s="159" t="n">
        <v>0</v>
      </c>
      <c r="K77" s="152">
        <f>MAX(0,H77+I77-J77)</f>
        <v/>
      </c>
      <c r="L77" s="152">
        <f>O76</f>
        <v/>
      </c>
      <c r="M77" s="159">
        <f>IF(L77&gt;0.005,L77*Debts!D10/12,0)</f>
        <v/>
      </c>
      <c r="N77" s="159" t="n">
        <v>0</v>
      </c>
      <c r="O77" s="152">
        <f>MAX(0,L77+M77-N77)</f>
        <v/>
      </c>
      <c r="P77" s="152">
        <f>S76</f>
        <v/>
      </c>
      <c r="Q77" s="159">
        <f>IF(P77&gt;0.005,P77*Debts!D11/12,0)</f>
        <v/>
      </c>
      <c r="R77" s="159" t="n">
        <v>0</v>
      </c>
      <c r="S77" s="152">
        <f>MAX(0,P77+Q77-R77)</f>
        <v/>
      </c>
      <c r="T77" s="152">
        <f>W76</f>
        <v/>
      </c>
      <c r="U77" s="159">
        <f>IF(T77&gt;0.005,T77*Debts!D12/12,0)</f>
        <v/>
      </c>
      <c r="V77" s="159" t="n">
        <v>0</v>
      </c>
      <c r="W77" s="152">
        <f>MAX(0,T77+U77-V77)</f>
        <v/>
      </c>
      <c r="X77" s="152">
        <f>AA76</f>
        <v/>
      </c>
      <c r="Y77" s="159">
        <f>IF(X77&gt;0.005,X77*Debts!D13/12,0)</f>
        <v/>
      </c>
      <c r="Z77" s="159" t="n">
        <v>0</v>
      </c>
      <c r="AA77" s="152">
        <f>MAX(0,X77+Y77-Z77)</f>
        <v/>
      </c>
      <c r="AB77" s="152">
        <f>AE76</f>
        <v/>
      </c>
      <c r="AC77" s="159">
        <f>IF(AB77&gt;0.005,AB77*Debts!D14/12,0)</f>
        <v/>
      </c>
      <c r="AD77" s="159" t="n">
        <v>0</v>
      </c>
      <c r="AE77" s="152">
        <f>MAX(0,AB77+AC77-AD77)</f>
        <v/>
      </c>
      <c r="AF77" s="152">
        <f>AI76</f>
        <v/>
      </c>
      <c r="AG77" s="159">
        <f>IF(AF77&gt;0.005,AF77*Debts!D15/12,0)</f>
        <v/>
      </c>
      <c r="AH77" s="159" t="n">
        <v>0</v>
      </c>
      <c r="AI77" s="152">
        <f>MAX(0,AF77+AG77-AH77)</f>
        <v/>
      </c>
      <c r="AJ77" s="152">
        <f>AM76</f>
        <v/>
      </c>
      <c r="AK77" s="159">
        <f>IF(AJ77&gt;0.005,AJ77*Debts!D16/12,0)</f>
        <v/>
      </c>
      <c r="AL77" s="159" t="n">
        <v>0</v>
      </c>
      <c r="AM77" s="152">
        <f>MAX(0,AJ77+AK77-AL77)</f>
        <v/>
      </c>
      <c r="AN77" s="152">
        <f>AQ76</f>
        <v/>
      </c>
      <c r="AO77" s="159">
        <f>IF(AN77&gt;0.005,AN77*Debts!D17/12,0)</f>
        <v/>
      </c>
      <c r="AP77" s="159" t="n">
        <v>0</v>
      </c>
      <c r="AQ77" s="152">
        <f>MAX(0,AN77+AO77-AP77)</f>
        <v/>
      </c>
      <c r="AR77" s="152">
        <f>AU76</f>
        <v/>
      </c>
      <c r="AS77" s="159">
        <f>IF(AR77&gt;0.005,AR77*Debts!D18/12,0)</f>
        <v/>
      </c>
      <c r="AT77" s="159" t="n">
        <v>0</v>
      </c>
      <c r="AU77" s="152">
        <f>MAX(0,AR77+AS77-AT77)</f>
        <v/>
      </c>
      <c r="AV77" s="152">
        <f>AY76</f>
        <v/>
      </c>
      <c r="AW77" s="159">
        <f>IF(AV77&gt;0.005,AV77*Debts!D19/12,0)</f>
        <v/>
      </c>
      <c r="AX77" s="159" t="n">
        <v>0</v>
      </c>
      <c r="AY77" s="152">
        <f>MAX(0,AV77+AW77-AX77)</f>
        <v/>
      </c>
      <c r="AZ77" s="152">
        <f>BC76</f>
        <v/>
      </c>
      <c r="BA77" s="159">
        <f>IF(AZ77&gt;0.005,AZ77*Debts!D20/12,0)</f>
        <v/>
      </c>
      <c r="BB77" s="159" t="n">
        <v>0</v>
      </c>
      <c r="BC77" s="152">
        <f>MAX(0,AZ77+BA77-BB77)</f>
        <v/>
      </c>
      <c r="BD77" s="152">
        <f>BG76</f>
        <v/>
      </c>
      <c r="BE77" s="159">
        <f>IF(BD77&gt;0.005,BD77*Debts!D21/12,0)</f>
        <v/>
      </c>
      <c r="BF77" s="159" t="n">
        <v>0</v>
      </c>
      <c r="BG77" s="152">
        <f>MAX(0,BD77+BE77-BF77)</f>
        <v/>
      </c>
      <c r="BH77" s="152">
        <f>BK76</f>
        <v/>
      </c>
      <c r="BI77" s="159">
        <f>IF(BH77&gt;0.005,BH77*Debts!D22/12,0)</f>
        <v/>
      </c>
      <c r="BJ77" s="159" t="n">
        <v>0</v>
      </c>
      <c r="BK77" s="152">
        <f>MAX(0,BH77+BI77-BJ77)</f>
        <v/>
      </c>
      <c r="BL77" s="152">
        <f>BO76</f>
        <v/>
      </c>
      <c r="BM77" s="159">
        <f>IF(BL77&gt;0.005,BL77*Debts!D23/12,0)</f>
        <v/>
      </c>
      <c r="BN77" s="159" t="n">
        <v>0</v>
      </c>
      <c r="BO77" s="152">
        <f>MAX(0,BL77+BM77-BN77)</f>
        <v/>
      </c>
      <c r="BP77" s="152">
        <f>BS76</f>
        <v/>
      </c>
      <c r="BQ77" s="159">
        <f>IF(BP77&gt;0.005,BP77*Debts!D24/12,0)</f>
        <v/>
      </c>
      <c r="BR77" s="159" t="n">
        <v>0</v>
      </c>
      <c r="BS77" s="152">
        <f>MAX(0,BP77+BQ77-BR77)</f>
        <v/>
      </c>
      <c r="BT77" s="152">
        <f>BW76</f>
        <v/>
      </c>
      <c r="BU77" s="159">
        <f>IF(BT77&gt;0.005,BT77*Debts!D25/12,0)</f>
        <v/>
      </c>
      <c r="BV77" s="159" t="n">
        <v>0</v>
      </c>
      <c r="BW77" s="152">
        <f>MAX(0,BT77+BU77-BV77)</f>
        <v/>
      </c>
      <c r="BX77" s="152">
        <f>CA76</f>
        <v/>
      </c>
      <c r="BY77" s="159">
        <f>IF(BX77&gt;0.005,BX77*Debts!D26/12,0)</f>
        <v/>
      </c>
      <c r="BZ77" s="159" t="n">
        <v>0</v>
      </c>
      <c r="CA77" s="152">
        <f>MAX(0,BX77+BY77-BZ77)</f>
        <v/>
      </c>
      <c r="CB77" s="152">
        <f>CE76</f>
        <v/>
      </c>
      <c r="CC77" s="159">
        <f>IF(CB77&gt;0.005,CB77*Debts!D27/12,0)</f>
        <v/>
      </c>
      <c r="CD77" s="159" t="n">
        <v>0</v>
      </c>
      <c r="CE77" s="152">
        <f>MAX(0,CB77+CC77-CD77)</f>
        <v/>
      </c>
      <c r="CF77" s="152">
        <f>G77+K77+O77+S77+W77+AA77+AE77+AI77+AM77+AQ77+AU77+AY77+BC77+BG77+BK77+BO77+BS77+BW77+CA77+CE77</f>
        <v/>
      </c>
      <c r="CG77" s="159">
        <f>E77+I77+M77+Q77+U77+Y77+AC77+AG77+AK77+AO77+AS77+AW77+BA77+BE77+BI77+BM77+BQ77+BU77+BY77+CC77</f>
        <v/>
      </c>
      <c r="CH77" s="152">
        <f>CH76+CG77</f>
        <v/>
      </c>
      <c r="CI77" s="148" t="n"/>
      <c r="CJ77" s="148" t="n"/>
    </row>
    <row r="78" ht="15" customHeight="1" s="83">
      <c r="A78" s="148" t="n"/>
      <c r="B78" s="158" t="n">
        <v>74</v>
      </c>
      <c r="C78" s="152">
        <f>F78+J78+N78+R78+V78+Z78+AD78+AH78+AL78+AP78+AT78+AX78+BB78+BF78+BJ78+BN78+BR78+BV78+BZ78+CD78</f>
        <v/>
      </c>
      <c r="D78" s="152">
        <f>G77</f>
        <v/>
      </c>
      <c r="E78" s="159">
        <f>IF(D78&gt;0.005,D78*Debts!D8/12,0)</f>
        <v/>
      </c>
      <c r="F78" s="159" t="n">
        <v>0</v>
      </c>
      <c r="G78" s="152">
        <f>MAX(0,D78+E78-F78)</f>
        <v/>
      </c>
      <c r="H78" s="152">
        <f>K77</f>
        <v/>
      </c>
      <c r="I78" s="159">
        <f>IF(H78&gt;0.005,H78*Debts!D9/12,0)</f>
        <v/>
      </c>
      <c r="J78" s="159" t="n">
        <v>0</v>
      </c>
      <c r="K78" s="152">
        <f>MAX(0,H78+I78-J78)</f>
        <v/>
      </c>
      <c r="L78" s="152">
        <f>O77</f>
        <v/>
      </c>
      <c r="M78" s="159">
        <f>IF(L78&gt;0.005,L78*Debts!D10/12,0)</f>
        <v/>
      </c>
      <c r="N78" s="159" t="n">
        <v>0</v>
      </c>
      <c r="O78" s="152">
        <f>MAX(0,L78+M78-N78)</f>
        <v/>
      </c>
      <c r="P78" s="152">
        <f>S77</f>
        <v/>
      </c>
      <c r="Q78" s="159">
        <f>IF(P78&gt;0.005,P78*Debts!D11/12,0)</f>
        <v/>
      </c>
      <c r="R78" s="159" t="n">
        <v>0</v>
      </c>
      <c r="S78" s="152">
        <f>MAX(0,P78+Q78-R78)</f>
        <v/>
      </c>
      <c r="T78" s="152">
        <f>W77</f>
        <v/>
      </c>
      <c r="U78" s="159">
        <f>IF(T78&gt;0.005,T78*Debts!D12/12,0)</f>
        <v/>
      </c>
      <c r="V78" s="159" t="n">
        <v>0</v>
      </c>
      <c r="W78" s="152">
        <f>MAX(0,T78+U78-V78)</f>
        <v/>
      </c>
      <c r="X78" s="152">
        <f>AA77</f>
        <v/>
      </c>
      <c r="Y78" s="159">
        <f>IF(X78&gt;0.005,X78*Debts!D13/12,0)</f>
        <v/>
      </c>
      <c r="Z78" s="159" t="n">
        <v>0</v>
      </c>
      <c r="AA78" s="152">
        <f>MAX(0,X78+Y78-Z78)</f>
        <v/>
      </c>
      <c r="AB78" s="152">
        <f>AE77</f>
        <v/>
      </c>
      <c r="AC78" s="159">
        <f>IF(AB78&gt;0.005,AB78*Debts!D14/12,0)</f>
        <v/>
      </c>
      <c r="AD78" s="159" t="n">
        <v>0</v>
      </c>
      <c r="AE78" s="152">
        <f>MAX(0,AB78+AC78-AD78)</f>
        <v/>
      </c>
      <c r="AF78" s="152">
        <f>AI77</f>
        <v/>
      </c>
      <c r="AG78" s="159">
        <f>IF(AF78&gt;0.005,AF78*Debts!D15/12,0)</f>
        <v/>
      </c>
      <c r="AH78" s="159" t="n">
        <v>0</v>
      </c>
      <c r="AI78" s="152">
        <f>MAX(0,AF78+AG78-AH78)</f>
        <v/>
      </c>
      <c r="AJ78" s="152">
        <f>AM77</f>
        <v/>
      </c>
      <c r="AK78" s="159">
        <f>IF(AJ78&gt;0.005,AJ78*Debts!D16/12,0)</f>
        <v/>
      </c>
      <c r="AL78" s="159" t="n">
        <v>0</v>
      </c>
      <c r="AM78" s="152">
        <f>MAX(0,AJ78+AK78-AL78)</f>
        <v/>
      </c>
      <c r="AN78" s="152">
        <f>AQ77</f>
        <v/>
      </c>
      <c r="AO78" s="159">
        <f>IF(AN78&gt;0.005,AN78*Debts!D17/12,0)</f>
        <v/>
      </c>
      <c r="AP78" s="159" t="n">
        <v>0</v>
      </c>
      <c r="AQ78" s="152">
        <f>MAX(0,AN78+AO78-AP78)</f>
        <v/>
      </c>
      <c r="AR78" s="152">
        <f>AU77</f>
        <v/>
      </c>
      <c r="AS78" s="159">
        <f>IF(AR78&gt;0.005,AR78*Debts!D18/12,0)</f>
        <v/>
      </c>
      <c r="AT78" s="159" t="n">
        <v>0</v>
      </c>
      <c r="AU78" s="152">
        <f>MAX(0,AR78+AS78-AT78)</f>
        <v/>
      </c>
      <c r="AV78" s="152">
        <f>AY77</f>
        <v/>
      </c>
      <c r="AW78" s="159">
        <f>IF(AV78&gt;0.005,AV78*Debts!D19/12,0)</f>
        <v/>
      </c>
      <c r="AX78" s="159" t="n">
        <v>0</v>
      </c>
      <c r="AY78" s="152">
        <f>MAX(0,AV78+AW78-AX78)</f>
        <v/>
      </c>
      <c r="AZ78" s="152">
        <f>BC77</f>
        <v/>
      </c>
      <c r="BA78" s="159">
        <f>IF(AZ78&gt;0.005,AZ78*Debts!D20/12,0)</f>
        <v/>
      </c>
      <c r="BB78" s="159" t="n">
        <v>0</v>
      </c>
      <c r="BC78" s="152">
        <f>MAX(0,AZ78+BA78-BB78)</f>
        <v/>
      </c>
      <c r="BD78" s="152">
        <f>BG77</f>
        <v/>
      </c>
      <c r="BE78" s="159">
        <f>IF(BD78&gt;0.005,BD78*Debts!D21/12,0)</f>
        <v/>
      </c>
      <c r="BF78" s="159" t="n">
        <v>0</v>
      </c>
      <c r="BG78" s="152">
        <f>MAX(0,BD78+BE78-BF78)</f>
        <v/>
      </c>
      <c r="BH78" s="152">
        <f>BK77</f>
        <v/>
      </c>
      <c r="BI78" s="159">
        <f>IF(BH78&gt;0.005,BH78*Debts!D22/12,0)</f>
        <v/>
      </c>
      <c r="BJ78" s="159" t="n">
        <v>0</v>
      </c>
      <c r="BK78" s="152">
        <f>MAX(0,BH78+BI78-BJ78)</f>
        <v/>
      </c>
      <c r="BL78" s="152">
        <f>BO77</f>
        <v/>
      </c>
      <c r="BM78" s="159">
        <f>IF(BL78&gt;0.005,BL78*Debts!D23/12,0)</f>
        <v/>
      </c>
      <c r="BN78" s="159" t="n">
        <v>0</v>
      </c>
      <c r="BO78" s="152">
        <f>MAX(0,BL78+BM78-BN78)</f>
        <v/>
      </c>
      <c r="BP78" s="152">
        <f>BS77</f>
        <v/>
      </c>
      <c r="BQ78" s="159">
        <f>IF(BP78&gt;0.005,BP78*Debts!D24/12,0)</f>
        <v/>
      </c>
      <c r="BR78" s="159" t="n">
        <v>0</v>
      </c>
      <c r="BS78" s="152">
        <f>MAX(0,BP78+BQ78-BR78)</f>
        <v/>
      </c>
      <c r="BT78" s="152">
        <f>BW77</f>
        <v/>
      </c>
      <c r="BU78" s="159">
        <f>IF(BT78&gt;0.005,BT78*Debts!D25/12,0)</f>
        <v/>
      </c>
      <c r="BV78" s="159" t="n">
        <v>0</v>
      </c>
      <c r="BW78" s="152">
        <f>MAX(0,BT78+BU78-BV78)</f>
        <v/>
      </c>
      <c r="BX78" s="152">
        <f>CA77</f>
        <v/>
      </c>
      <c r="BY78" s="159">
        <f>IF(BX78&gt;0.005,BX78*Debts!D26/12,0)</f>
        <v/>
      </c>
      <c r="BZ78" s="159" t="n">
        <v>0</v>
      </c>
      <c r="CA78" s="152">
        <f>MAX(0,BX78+BY78-BZ78)</f>
        <v/>
      </c>
      <c r="CB78" s="152">
        <f>CE77</f>
        <v/>
      </c>
      <c r="CC78" s="159">
        <f>IF(CB78&gt;0.005,CB78*Debts!D27/12,0)</f>
        <v/>
      </c>
      <c r="CD78" s="159" t="n">
        <v>0</v>
      </c>
      <c r="CE78" s="152">
        <f>MAX(0,CB78+CC78-CD78)</f>
        <v/>
      </c>
      <c r="CF78" s="152">
        <f>G78+K78+O78+S78+W78+AA78+AE78+AI78+AM78+AQ78+AU78+AY78+BC78+BG78+BK78+BO78+BS78+BW78+CA78+CE78</f>
        <v/>
      </c>
      <c r="CG78" s="159">
        <f>E78+I78+M78+Q78+U78+Y78+AC78+AG78+AK78+AO78+AS78+AW78+BA78+BE78+BI78+BM78+BQ78+BU78+BY78+CC78</f>
        <v/>
      </c>
      <c r="CH78" s="152">
        <f>CH77+CG78</f>
        <v/>
      </c>
      <c r="CI78" s="148" t="n"/>
      <c r="CJ78" s="148" t="n"/>
    </row>
    <row r="79" ht="15" customHeight="1" s="83">
      <c r="A79" s="148" t="n"/>
      <c r="B79" s="158" t="n">
        <v>75</v>
      </c>
      <c r="C79" s="152">
        <f>F79+J79+N79+R79+V79+Z79+AD79+AH79+AL79+AP79+AT79+AX79+BB79+BF79+BJ79+BN79+BR79+BV79+BZ79+CD79</f>
        <v/>
      </c>
      <c r="D79" s="152">
        <f>G78</f>
        <v/>
      </c>
      <c r="E79" s="159">
        <f>IF(D79&gt;0.005,D79*Debts!D8/12,0)</f>
        <v/>
      </c>
      <c r="F79" s="159" t="n">
        <v>0</v>
      </c>
      <c r="G79" s="152">
        <f>MAX(0,D79+E79-F79)</f>
        <v/>
      </c>
      <c r="H79" s="152">
        <f>K78</f>
        <v/>
      </c>
      <c r="I79" s="159">
        <f>IF(H79&gt;0.005,H79*Debts!D9/12,0)</f>
        <v/>
      </c>
      <c r="J79" s="159" t="n">
        <v>0</v>
      </c>
      <c r="K79" s="152">
        <f>MAX(0,H79+I79-J79)</f>
        <v/>
      </c>
      <c r="L79" s="152">
        <f>O78</f>
        <v/>
      </c>
      <c r="M79" s="159">
        <f>IF(L79&gt;0.005,L79*Debts!D10/12,0)</f>
        <v/>
      </c>
      <c r="N79" s="159" t="n">
        <v>0</v>
      </c>
      <c r="O79" s="152">
        <f>MAX(0,L79+M79-N79)</f>
        <v/>
      </c>
      <c r="P79" s="152">
        <f>S78</f>
        <v/>
      </c>
      <c r="Q79" s="159">
        <f>IF(P79&gt;0.005,P79*Debts!D11/12,0)</f>
        <v/>
      </c>
      <c r="R79" s="159" t="n">
        <v>0</v>
      </c>
      <c r="S79" s="152">
        <f>MAX(0,P79+Q79-R79)</f>
        <v/>
      </c>
      <c r="T79" s="152">
        <f>W78</f>
        <v/>
      </c>
      <c r="U79" s="159">
        <f>IF(T79&gt;0.005,T79*Debts!D12/12,0)</f>
        <v/>
      </c>
      <c r="V79" s="159" t="n">
        <v>0</v>
      </c>
      <c r="W79" s="152">
        <f>MAX(0,T79+U79-V79)</f>
        <v/>
      </c>
      <c r="X79" s="152">
        <f>AA78</f>
        <v/>
      </c>
      <c r="Y79" s="159">
        <f>IF(X79&gt;0.005,X79*Debts!D13/12,0)</f>
        <v/>
      </c>
      <c r="Z79" s="159" t="n">
        <v>0</v>
      </c>
      <c r="AA79" s="152">
        <f>MAX(0,X79+Y79-Z79)</f>
        <v/>
      </c>
      <c r="AB79" s="152">
        <f>AE78</f>
        <v/>
      </c>
      <c r="AC79" s="159">
        <f>IF(AB79&gt;0.005,AB79*Debts!D14/12,0)</f>
        <v/>
      </c>
      <c r="AD79" s="159" t="n">
        <v>0</v>
      </c>
      <c r="AE79" s="152">
        <f>MAX(0,AB79+AC79-AD79)</f>
        <v/>
      </c>
      <c r="AF79" s="152">
        <f>AI78</f>
        <v/>
      </c>
      <c r="AG79" s="159">
        <f>IF(AF79&gt;0.005,AF79*Debts!D15/12,0)</f>
        <v/>
      </c>
      <c r="AH79" s="159" t="n">
        <v>0</v>
      </c>
      <c r="AI79" s="152">
        <f>MAX(0,AF79+AG79-AH79)</f>
        <v/>
      </c>
      <c r="AJ79" s="152">
        <f>AM78</f>
        <v/>
      </c>
      <c r="AK79" s="159">
        <f>IF(AJ79&gt;0.005,AJ79*Debts!D16/12,0)</f>
        <v/>
      </c>
      <c r="AL79" s="159" t="n">
        <v>0</v>
      </c>
      <c r="AM79" s="152">
        <f>MAX(0,AJ79+AK79-AL79)</f>
        <v/>
      </c>
      <c r="AN79" s="152">
        <f>AQ78</f>
        <v/>
      </c>
      <c r="AO79" s="159">
        <f>IF(AN79&gt;0.005,AN79*Debts!D17/12,0)</f>
        <v/>
      </c>
      <c r="AP79" s="159" t="n">
        <v>0</v>
      </c>
      <c r="AQ79" s="152">
        <f>MAX(0,AN79+AO79-AP79)</f>
        <v/>
      </c>
      <c r="AR79" s="152">
        <f>AU78</f>
        <v/>
      </c>
      <c r="AS79" s="159">
        <f>IF(AR79&gt;0.005,AR79*Debts!D18/12,0)</f>
        <v/>
      </c>
      <c r="AT79" s="159" t="n">
        <v>0</v>
      </c>
      <c r="AU79" s="152">
        <f>MAX(0,AR79+AS79-AT79)</f>
        <v/>
      </c>
      <c r="AV79" s="152">
        <f>AY78</f>
        <v/>
      </c>
      <c r="AW79" s="159">
        <f>IF(AV79&gt;0.005,AV79*Debts!D19/12,0)</f>
        <v/>
      </c>
      <c r="AX79" s="159" t="n">
        <v>0</v>
      </c>
      <c r="AY79" s="152">
        <f>MAX(0,AV79+AW79-AX79)</f>
        <v/>
      </c>
      <c r="AZ79" s="152">
        <f>BC78</f>
        <v/>
      </c>
      <c r="BA79" s="159">
        <f>IF(AZ79&gt;0.005,AZ79*Debts!D20/12,0)</f>
        <v/>
      </c>
      <c r="BB79" s="159" t="n">
        <v>0</v>
      </c>
      <c r="BC79" s="152">
        <f>MAX(0,AZ79+BA79-BB79)</f>
        <v/>
      </c>
      <c r="BD79" s="152">
        <f>BG78</f>
        <v/>
      </c>
      <c r="BE79" s="159">
        <f>IF(BD79&gt;0.005,BD79*Debts!D21/12,0)</f>
        <v/>
      </c>
      <c r="BF79" s="159" t="n">
        <v>0</v>
      </c>
      <c r="BG79" s="152">
        <f>MAX(0,BD79+BE79-BF79)</f>
        <v/>
      </c>
      <c r="BH79" s="152">
        <f>BK78</f>
        <v/>
      </c>
      <c r="BI79" s="159">
        <f>IF(BH79&gt;0.005,BH79*Debts!D22/12,0)</f>
        <v/>
      </c>
      <c r="BJ79" s="159" t="n">
        <v>0</v>
      </c>
      <c r="BK79" s="152">
        <f>MAX(0,BH79+BI79-BJ79)</f>
        <v/>
      </c>
      <c r="BL79" s="152">
        <f>BO78</f>
        <v/>
      </c>
      <c r="BM79" s="159">
        <f>IF(BL79&gt;0.005,BL79*Debts!D23/12,0)</f>
        <v/>
      </c>
      <c r="BN79" s="159" t="n">
        <v>0</v>
      </c>
      <c r="BO79" s="152">
        <f>MAX(0,BL79+BM79-BN79)</f>
        <v/>
      </c>
      <c r="BP79" s="152">
        <f>BS78</f>
        <v/>
      </c>
      <c r="BQ79" s="159">
        <f>IF(BP79&gt;0.005,BP79*Debts!D24/12,0)</f>
        <v/>
      </c>
      <c r="BR79" s="159" t="n">
        <v>0</v>
      </c>
      <c r="BS79" s="152">
        <f>MAX(0,BP79+BQ79-BR79)</f>
        <v/>
      </c>
      <c r="BT79" s="152">
        <f>BW78</f>
        <v/>
      </c>
      <c r="BU79" s="159">
        <f>IF(BT79&gt;0.005,BT79*Debts!D25/12,0)</f>
        <v/>
      </c>
      <c r="BV79" s="159" t="n">
        <v>0</v>
      </c>
      <c r="BW79" s="152">
        <f>MAX(0,BT79+BU79-BV79)</f>
        <v/>
      </c>
      <c r="BX79" s="152">
        <f>CA78</f>
        <v/>
      </c>
      <c r="BY79" s="159">
        <f>IF(BX79&gt;0.005,BX79*Debts!D26/12,0)</f>
        <v/>
      </c>
      <c r="BZ79" s="159" t="n">
        <v>0</v>
      </c>
      <c r="CA79" s="152">
        <f>MAX(0,BX79+BY79-BZ79)</f>
        <v/>
      </c>
      <c r="CB79" s="152">
        <f>CE78</f>
        <v/>
      </c>
      <c r="CC79" s="159">
        <f>IF(CB79&gt;0.005,CB79*Debts!D27/12,0)</f>
        <v/>
      </c>
      <c r="CD79" s="159" t="n">
        <v>0</v>
      </c>
      <c r="CE79" s="152">
        <f>MAX(0,CB79+CC79-CD79)</f>
        <v/>
      </c>
      <c r="CF79" s="152">
        <f>G79+K79+O79+S79+W79+AA79+AE79+AI79+AM79+AQ79+AU79+AY79+BC79+BG79+BK79+BO79+BS79+BW79+CA79+CE79</f>
        <v/>
      </c>
      <c r="CG79" s="159">
        <f>E79+I79+M79+Q79+U79+Y79+AC79+AG79+AK79+AO79+AS79+AW79+BA79+BE79+BI79+BM79+BQ79+BU79+BY79+CC79</f>
        <v/>
      </c>
      <c r="CH79" s="152">
        <f>CH78+CG79</f>
        <v/>
      </c>
      <c r="CI79" s="148" t="n"/>
      <c r="CJ79" s="148" t="n"/>
    </row>
    <row r="80" ht="15" customHeight="1" s="83">
      <c r="A80" s="148" t="n"/>
      <c r="B80" s="158" t="n">
        <v>76</v>
      </c>
      <c r="C80" s="152">
        <f>F80+J80+N80+R80+V80+Z80+AD80+AH80+AL80+AP80+AT80+AX80+BB80+BF80+BJ80+BN80+BR80+BV80+BZ80+CD80</f>
        <v/>
      </c>
      <c r="D80" s="152">
        <f>G79</f>
        <v/>
      </c>
      <c r="E80" s="159">
        <f>IF(D80&gt;0.005,D80*Debts!D8/12,0)</f>
        <v/>
      </c>
      <c r="F80" s="159" t="n">
        <v>0</v>
      </c>
      <c r="G80" s="152">
        <f>MAX(0,D80+E80-F80)</f>
        <v/>
      </c>
      <c r="H80" s="152">
        <f>K79</f>
        <v/>
      </c>
      <c r="I80" s="159">
        <f>IF(H80&gt;0.005,H80*Debts!D9/12,0)</f>
        <v/>
      </c>
      <c r="J80" s="159" t="n">
        <v>0</v>
      </c>
      <c r="K80" s="152">
        <f>MAX(0,H80+I80-J80)</f>
        <v/>
      </c>
      <c r="L80" s="152">
        <f>O79</f>
        <v/>
      </c>
      <c r="M80" s="159">
        <f>IF(L80&gt;0.005,L80*Debts!D10/12,0)</f>
        <v/>
      </c>
      <c r="N80" s="159" t="n">
        <v>0</v>
      </c>
      <c r="O80" s="152">
        <f>MAX(0,L80+M80-N80)</f>
        <v/>
      </c>
      <c r="P80" s="152">
        <f>S79</f>
        <v/>
      </c>
      <c r="Q80" s="159">
        <f>IF(P80&gt;0.005,P80*Debts!D11/12,0)</f>
        <v/>
      </c>
      <c r="R80" s="159" t="n">
        <v>0</v>
      </c>
      <c r="S80" s="152">
        <f>MAX(0,P80+Q80-R80)</f>
        <v/>
      </c>
      <c r="T80" s="152">
        <f>W79</f>
        <v/>
      </c>
      <c r="U80" s="159">
        <f>IF(T80&gt;0.005,T80*Debts!D12/12,0)</f>
        <v/>
      </c>
      <c r="V80" s="159" t="n">
        <v>0</v>
      </c>
      <c r="W80" s="152">
        <f>MAX(0,T80+U80-V80)</f>
        <v/>
      </c>
      <c r="X80" s="152">
        <f>AA79</f>
        <v/>
      </c>
      <c r="Y80" s="159">
        <f>IF(X80&gt;0.005,X80*Debts!D13/12,0)</f>
        <v/>
      </c>
      <c r="Z80" s="159" t="n">
        <v>0</v>
      </c>
      <c r="AA80" s="152">
        <f>MAX(0,X80+Y80-Z80)</f>
        <v/>
      </c>
      <c r="AB80" s="152">
        <f>AE79</f>
        <v/>
      </c>
      <c r="AC80" s="159">
        <f>IF(AB80&gt;0.005,AB80*Debts!D14/12,0)</f>
        <v/>
      </c>
      <c r="AD80" s="159" t="n">
        <v>0</v>
      </c>
      <c r="AE80" s="152">
        <f>MAX(0,AB80+AC80-AD80)</f>
        <v/>
      </c>
      <c r="AF80" s="152">
        <f>AI79</f>
        <v/>
      </c>
      <c r="AG80" s="159">
        <f>IF(AF80&gt;0.005,AF80*Debts!D15/12,0)</f>
        <v/>
      </c>
      <c r="AH80" s="159" t="n">
        <v>0</v>
      </c>
      <c r="AI80" s="152">
        <f>MAX(0,AF80+AG80-AH80)</f>
        <v/>
      </c>
      <c r="AJ80" s="152">
        <f>AM79</f>
        <v/>
      </c>
      <c r="AK80" s="159">
        <f>IF(AJ80&gt;0.005,AJ80*Debts!D16/12,0)</f>
        <v/>
      </c>
      <c r="AL80" s="159" t="n">
        <v>0</v>
      </c>
      <c r="AM80" s="152">
        <f>MAX(0,AJ80+AK80-AL80)</f>
        <v/>
      </c>
      <c r="AN80" s="152">
        <f>AQ79</f>
        <v/>
      </c>
      <c r="AO80" s="159">
        <f>IF(AN80&gt;0.005,AN80*Debts!D17/12,0)</f>
        <v/>
      </c>
      <c r="AP80" s="159" t="n">
        <v>0</v>
      </c>
      <c r="AQ80" s="152">
        <f>MAX(0,AN80+AO80-AP80)</f>
        <v/>
      </c>
      <c r="AR80" s="152">
        <f>AU79</f>
        <v/>
      </c>
      <c r="AS80" s="159">
        <f>IF(AR80&gt;0.005,AR80*Debts!D18/12,0)</f>
        <v/>
      </c>
      <c r="AT80" s="159" t="n">
        <v>0</v>
      </c>
      <c r="AU80" s="152">
        <f>MAX(0,AR80+AS80-AT80)</f>
        <v/>
      </c>
      <c r="AV80" s="152">
        <f>AY79</f>
        <v/>
      </c>
      <c r="AW80" s="159">
        <f>IF(AV80&gt;0.005,AV80*Debts!D19/12,0)</f>
        <v/>
      </c>
      <c r="AX80" s="159" t="n">
        <v>0</v>
      </c>
      <c r="AY80" s="152">
        <f>MAX(0,AV80+AW80-AX80)</f>
        <v/>
      </c>
      <c r="AZ80" s="152">
        <f>BC79</f>
        <v/>
      </c>
      <c r="BA80" s="159">
        <f>IF(AZ80&gt;0.005,AZ80*Debts!D20/12,0)</f>
        <v/>
      </c>
      <c r="BB80" s="159" t="n">
        <v>0</v>
      </c>
      <c r="BC80" s="152">
        <f>MAX(0,AZ80+BA80-BB80)</f>
        <v/>
      </c>
      <c r="BD80" s="152">
        <f>BG79</f>
        <v/>
      </c>
      <c r="BE80" s="159">
        <f>IF(BD80&gt;0.005,BD80*Debts!D21/12,0)</f>
        <v/>
      </c>
      <c r="BF80" s="159" t="n">
        <v>0</v>
      </c>
      <c r="BG80" s="152">
        <f>MAX(0,BD80+BE80-BF80)</f>
        <v/>
      </c>
      <c r="BH80" s="152">
        <f>BK79</f>
        <v/>
      </c>
      <c r="BI80" s="159">
        <f>IF(BH80&gt;0.005,BH80*Debts!D22/12,0)</f>
        <v/>
      </c>
      <c r="BJ80" s="159" t="n">
        <v>0</v>
      </c>
      <c r="BK80" s="152">
        <f>MAX(0,BH80+BI80-BJ80)</f>
        <v/>
      </c>
      <c r="BL80" s="152">
        <f>BO79</f>
        <v/>
      </c>
      <c r="BM80" s="159">
        <f>IF(BL80&gt;0.005,BL80*Debts!D23/12,0)</f>
        <v/>
      </c>
      <c r="BN80" s="159" t="n">
        <v>0</v>
      </c>
      <c r="BO80" s="152">
        <f>MAX(0,BL80+BM80-BN80)</f>
        <v/>
      </c>
      <c r="BP80" s="152">
        <f>BS79</f>
        <v/>
      </c>
      <c r="BQ80" s="159">
        <f>IF(BP80&gt;0.005,BP80*Debts!D24/12,0)</f>
        <v/>
      </c>
      <c r="BR80" s="159" t="n">
        <v>0</v>
      </c>
      <c r="BS80" s="152">
        <f>MAX(0,BP80+BQ80-BR80)</f>
        <v/>
      </c>
      <c r="BT80" s="152">
        <f>BW79</f>
        <v/>
      </c>
      <c r="BU80" s="159">
        <f>IF(BT80&gt;0.005,BT80*Debts!D25/12,0)</f>
        <v/>
      </c>
      <c r="BV80" s="159" t="n">
        <v>0</v>
      </c>
      <c r="BW80" s="152">
        <f>MAX(0,BT80+BU80-BV80)</f>
        <v/>
      </c>
      <c r="BX80" s="152">
        <f>CA79</f>
        <v/>
      </c>
      <c r="BY80" s="159">
        <f>IF(BX80&gt;0.005,BX80*Debts!D26/12,0)</f>
        <v/>
      </c>
      <c r="BZ80" s="159" t="n">
        <v>0</v>
      </c>
      <c r="CA80" s="152">
        <f>MAX(0,BX80+BY80-BZ80)</f>
        <v/>
      </c>
      <c r="CB80" s="152">
        <f>CE79</f>
        <v/>
      </c>
      <c r="CC80" s="159">
        <f>IF(CB80&gt;0.005,CB80*Debts!D27/12,0)</f>
        <v/>
      </c>
      <c r="CD80" s="159" t="n">
        <v>0</v>
      </c>
      <c r="CE80" s="152">
        <f>MAX(0,CB80+CC80-CD80)</f>
        <v/>
      </c>
      <c r="CF80" s="152">
        <f>G80+K80+O80+S80+W80+AA80+AE80+AI80+AM80+AQ80+AU80+AY80+BC80+BG80+BK80+BO80+BS80+BW80+CA80+CE80</f>
        <v/>
      </c>
      <c r="CG80" s="159">
        <f>E80+I80+M80+Q80+U80+Y80+AC80+AG80+AK80+AO80+AS80+AW80+BA80+BE80+BI80+BM80+BQ80+BU80+BY80+CC80</f>
        <v/>
      </c>
      <c r="CH80" s="152">
        <f>CH79+CG80</f>
        <v/>
      </c>
      <c r="CI80" s="148" t="n"/>
      <c r="CJ80" s="148" t="n"/>
    </row>
    <row r="81" ht="15" customHeight="1" s="83">
      <c r="A81" s="148" t="n"/>
      <c r="B81" s="158" t="n">
        <v>77</v>
      </c>
      <c r="C81" s="152">
        <f>F81+J81+N81+R81+V81+Z81+AD81+AH81+AL81+AP81+AT81+AX81+BB81+BF81+BJ81+BN81+BR81+BV81+BZ81+CD81</f>
        <v/>
      </c>
      <c r="D81" s="152">
        <f>G80</f>
        <v/>
      </c>
      <c r="E81" s="159">
        <f>IF(D81&gt;0.005,D81*Debts!D8/12,0)</f>
        <v/>
      </c>
      <c r="F81" s="159" t="n">
        <v>0</v>
      </c>
      <c r="G81" s="152">
        <f>MAX(0,D81+E81-F81)</f>
        <v/>
      </c>
      <c r="H81" s="152">
        <f>K80</f>
        <v/>
      </c>
      <c r="I81" s="159">
        <f>IF(H81&gt;0.005,H81*Debts!D9/12,0)</f>
        <v/>
      </c>
      <c r="J81" s="159" t="n">
        <v>0</v>
      </c>
      <c r="K81" s="152">
        <f>MAX(0,H81+I81-J81)</f>
        <v/>
      </c>
      <c r="L81" s="152">
        <f>O80</f>
        <v/>
      </c>
      <c r="M81" s="159">
        <f>IF(L81&gt;0.005,L81*Debts!D10/12,0)</f>
        <v/>
      </c>
      <c r="N81" s="159" t="n">
        <v>0</v>
      </c>
      <c r="O81" s="152">
        <f>MAX(0,L81+M81-N81)</f>
        <v/>
      </c>
      <c r="P81" s="152">
        <f>S80</f>
        <v/>
      </c>
      <c r="Q81" s="159">
        <f>IF(P81&gt;0.005,P81*Debts!D11/12,0)</f>
        <v/>
      </c>
      <c r="R81" s="159" t="n">
        <v>0</v>
      </c>
      <c r="S81" s="152">
        <f>MAX(0,P81+Q81-R81)</f>
        <v/>
      </c>
      <c r="T81" s="152">
        <f>W80</f>
        <v/>
      </c>
      <c r="U81" s="159">
        <f>IF(T81&gt;0.005,T81*Debts!D12/12,0)</f>
        <v/>
      </c>
      <c r="V81" s="159" t="n">
        <v>0</v>
      </c>
      <c r="W81" s="152">
        <f>MAX(0,T81+U81-V81)</f>
        <v/>
      </c>
      <c r="X81" s="152">
        <f>AA80</f>
        <v/>
      </c>
      <c r="Y81" s="159">
        <f>IF(X81&gt;0.005,X81*Debts!D13/12,0)</f>
        <v/>
      </c>
      <c r="Z81" s="159" t="n">
        <v>0</v>
      </c>
      <c r="AA81" s="152">
        <f>MAX(0,X81+Y81-Z81)</f>
        <v/>
      </c>
      <c r="AB81" s="152">
        <f>AE80</f>
        <v/>
      </c>
      <c r="AC81" s="159">
        <f>IF(AB81&gt;0.005,AB81*Debts!D14/12,0)</f>
        <v/>
      </c>
      <c r="AD81" s="159" t="n">
        <v>0</v>
      </c>
      <c r="AE81" s="152">
        <f>MAX(0,AB81+AC81-AD81)</f>
        <v/>
      </c>
      <c r="AF81" s="152">
        <f>AI80</f>
        <v/>
      </c>
      <c r="AG81" s="159">
        <f>IF(AF81&gt;0.005,AF81*Debts!D15/12,0)</f>
        <v/>
      </c>
      <c r="AH81" s="159" t="n">
        <v>0</v>
      </c>
      <c r="AI81" s="152">
        <f>MAX(0,AF81+AG81-AH81)</f>
        <v/>
      </c>
      <c r="AJ81" s="152">
        <f>AM80</f>
        <v/>
      </c>
      <c r="AK81" s="159">
        <f>IF(AJ81&gt;0.005,AJ81*Debts!D16/12,0)</f>
        <v/>
      </c>
      <c r="AL81" s="159" t="n">
        <v>0</v>
      </c>
      <c r="AM81" s="152">
        <f>MAX(0,AJ81+AK81-AL81)</f>
        <v/>
      </c>
      <c r="AN81" s="152">
        <f>AQ80</f>
        <v/>
      </c>
      <c r="AO81" s="159">
        <f>IF(AN81&gt;0.005,AN81*Debts!D17/12,0)</f>
        <v/>
      </c>
      <c r="AP81" s="159" t="n">
        <v>0</v>
      </c>
      <c r="AQ81" s="152">
        <f>MAX(0,AN81+AO81-AP81)</f>
        <v/>
      </c>
      <c r="AR81" s="152">
        <f>AU80</f>
        <v/>
      </c>
      <c r="AS81" s="159">
        <f>IF(AR81&gt;0.005,AR81*Debts!D18/12,0)</f>
        <v/>
      </c>
      <c r="AT81" s="159" t="n">
        <v>0</v>
      </c>
      <c r="AU81" s="152">
        <f>MAX(0,AR81+AS81-AT81)</f>
        <v/>
      </c>
      <c r="AV81" s="152">
        <f>AY80</f>
        <v/>
      </c>
      <c r="AW81" s="159">
        <f>IF(AV81&gt;0.005,AV81*Debts!D19/12,0)</f>
        <v/>
      </c>
      <c r="AX81" s="159" t="n">
        <v>0</v>
      </c>
      <c r="AY81" s="152">
        <f>MAX(0,AV81+AW81-AX81)</f>
        <v/>
      </c>
      <c r="AZ81" s="152">
        <f>BC80</f>
        <v/>
      </c>
      <c r="BA81" s="159">
        <f>IF(AZ81&gt;0.005,AZ81*Debts!D20/12,0)</f>
        <v/>
      </c>
      <c r="BB81" s="159" t="n">
        <v>0</v>
      </c>
      <c r="BC81" s="152">
        <f>MAX(0,AZ81+BA81-BB81)</f>
        <v/>
      </c>
      <c r="BD81" s="152">
        <f>BG80</f>
        <v/>
      </c>
      <c r="BE81" s="159">
        <f>IF(BD81&gt;0.005,BD81*Debts!D21/12,0)</f>
        <v/>
      </c>
      <c r="BF81" s="159" t="n">
        <v>0</v>
      </c>
      <c r="BG81" s="152">
        <f>MAX(0,BD81+BE81-BF81)</f>
        <v/>
      </c>
      <c r="BH81" s="152">
        <f>BK80</f>
        <v/>
      </c>
      <c r="BI81" s="159">
        <f>IF(BH81&gt;0.005,BH81*Debts!D22/12,0)</f>
        <v/>
      </c>
      <c r="BJ81" s="159" t="n">
        <v>0</v>
      </c>
      <c r="BK81" s="152">
        <f>MAX(0,BH81+BI81-BJ81)</f>
        <v/>
      </c>
      <c r="BL81" s="152">
        <f>BO80</f>
        <v/>
      </c>
      <c r="BM81" s="159">
        <f>IF(BL81&gt;0.005,BL81*Debts!D23/12,0)</f>
        <v/>
      </c>
      <c r="BN81" s="159" t="n">
        <v>0</v>
      </c>
      <c r="BO81" s="152">
        <f>MAX(0,BL81+BM81-BN81)</f>
        <v/>
      </c>
      <c r="BP81" s="152">
        <f>BS80</f>
        <v/>
      </c>
      <c r="BQ81" s="159">
        <f>IF(BP81&gt;0.005,BP81*Debts!D24/12,0)</f>
        <v/>
      </c>
      <c r="BR81" s="159" t="n">
        <v>0</v>
      </c>
      <c r="BS81" s="152">
        <f>MAX(0,BP81+BQ81-BR81)</f>
        <v/>
      </c>
      <c r="BT81" s="152">
        <f>BW80</f>
        <v/>
      </c>
      <c r="BU81" s="159">
        <f>IF(BT81&gt;0.005,BT81*Debts!D25/12,0)</f>
        <v/>
      </c>
      <c r="BV81" s="159" t="n">
        <v>0</v>
      </c>
      <c r="BW81" s="152">
        <f>MAX(0,BT81+BU81-BV81)</f>
        <v/>
      </c>
      <c r="BX81" s="152">
        <f>CA80</f>
        <v/>
      </c>
      <c r="BY81" s="159">
        <f>IF(BX81&gt;0.005,BX81*Debts!D26/12,0)</f>
        <v/>
      </c>
      <c r="BZ81" s="159" t="n">
        <v>0</v>
      </c>
      <c r="CA81" s="152">
        <f>MAX(0,BX81+BY81-BZ81)</f>
        <v/>
      </c>
      <c r="CB81" s="152">
        <f>CE80</f>
        <v/>
      </c>
      <c r="CC81" s="159">
        <f>IF(CB81&gt;0.005,CB81*Debts!D27/12,0)</f>
        <v/>
      </c>
      <c r="CD81" s="159" t="n">
        <v>0</v>
      </c>
      <c r="CE81" s="152">
        <f>MAX(0,CB81+CC81-CD81)</f>
        <v/>
      </c>
      <c r="CF81" s="152">
        <f>G81+K81+O81+S81+W81+AA81+AE81+AI81+AM81+AQ81+AU81+AY81+BC81+BG81+BK81+BO81+BS81+BW81+CA81+CE81</f>
        <v/>
      </c>
      <c r="CG81" s="159">
        <f>E81+I81+M81+Q81+U81+Y81+AC81+AG81+AK81+AO81+AS81+AW81+BA81+BE81+BI81+BM81+BQ81+BU81+BY81+CC81</f>
        <v/>
      </c>
      <c r="CH81" s="152">
        <f>CH80+CG81</f>
        <v/>
      </c>
      <c r="CI81" s="148" t="n"/>
      <c r="CJ81" s="148" t="n"/>
    </row>
    <row r="82" ht="15" customHeight="1" s="83">
      <c r="A82" s="148" t="n"/>
      <c r="B82" s="158" t="n">
        <v>78</v>
      </c>
      <c r="C82" s="152">
        <f>F82+J82+N82+R82+V82+Z82+AD82+AH82+AL82+AP82+AT82+AX82+BB82+BF82+BJ82+BN82+BR82+BV82+BZ82+CD82</f>
        <v/>
      </c>
      <c r="D82" s="152">
        <f>G81</f>
        <v/>
      </c>
      <c r="E82" s="159">
        <f>IF(D82&gt;0.005,D82*Debts!D8/12,0)</f>
        <v/>
      </c>
      <c r="F82" s="159" t="n">
        <v>0</v>
      </c>
      <c r="G82" s="152">
        <f>MAX(0,D82+E82-F82)</f>
        <v/>
      </c>
      <c r="H82" s="152">
        <f>K81</f>
        <v/>
      </c>
      <c r="I82" s="159">
        <f>IF(H82&gt;0.005,H82*Debts!D9/12,0)</f>
        <v/>
      </c>
      <c r="J82" s="159" t="n">
        <v>0</v>
      </c>
      <c r="K82" s="152">
        <f>MAX(0,H82+I82-J82)</f>
        <v/>
      </c>
      <c r="L82" s="152">
        <f>O81</f>
        <v/>
      </c>
      <c r="M82" s="159">
        <f>IF(L82&gt;0.005,L82*Debts!D10/12,0)</f>
        <v/>
      </c>
      <c r="N82" s="159" t="n">
        <v>0</v>
      </c>
      <c r="O82" s="152">
        <f>MAX(0,L82+M82-N82)</f>
        <v/>
      </c>
      <c r="P82" s="152">
        <f>S81</f>
        <v/>
      </c>
      <c r="Q82" s="159">
        <f>IF(P82&gt;0.005,P82*Debts!D11/12,0)</f>
        <v/>
      </c>
      <c r="R82" s="159" t="n">
        <v>0</v>
      </c>
      <c r="S82" s="152">
        <f>MAX(0,P82+Q82-R82)</f>
        <v/>
      </c>
      <c r="T82" s="152">
        <f>W81</f>
        <v/>
      </c>
      <c r="U82" s="159">
        <f>IF(T82&gt;0.005,T82*Debts!D12/12,0)</f>
        <v/>
      </c>
      <c r="V82" s="159" t="n">
        <v>0</v>
      </c>
      <c r="W82" s="152">
        <f>MAX(0,T82+U82-V82)</f>
        <v/>
      </c>
      <c r="X82" s="152">
        <f>AA81</f>
        <v/>
      </c>
      <c r="Y82" s="159">
        <f>IF(X82&gt;0.005,X82*Debts!D13/12,0)</f>
        <v/>
      </c>
      <c r="Z82" s="159" t="n">
        <v>0</v>
      </c>
      <c r="AA82" s="152">
        <f>MAX(0,X82+Y82-Z82)</f>
        <v/>
      </c>
      <c r="AB82" s="152">
        <f>AE81</f>
        <v/>
      </c>
      <c r="AC82" s="159">
        <f>IF(AB82&gt;0.005,AB82*Debts!D14/12,0)</f>
        <v/>
      </c>
      <c r="AD82" s="159" t="n">
        <v>0</v>
      </c>
      <c r="AE82" s="152">
        <f>MAX(0,AB82+AC82-AD82)</f>
        <v/>
      </c>
      <c r="AF82" s="152">
        <f>AI81</f>
        <v/>
      </c>
      <c r="AG82" s="159">
        <f>IF(AF82&gt;0.005,AF82*Debts!D15/12,0)</f>
        <v/>
      </c>
      <c r="AH82" s="159" t="n">
        <v>0</v>
      </c>
      <c r="AI82" s="152">
        <f>MAX(0,AF82+AG82-AH82)</f>
        <v/>
      </c>
      <c r="AJ82" s="152">
        <f>AM81</f>
        <v/>
      </c>
      <c r="AK82" s="159">
        <f>IF(AJ82&gt;0.005,AJ82*Debts!D16/12,0)</f>
        <v/>
      </c>
      <c r="AL82" s="159" t="n">
        <v>0</v>
      </c>
      <c r="AM82" s="152">
        <f>MAX(0,AJ82+AK82-AL82)</f>
        <v/>
      </c>
      <c r="AN82" s="152">
        <f>AQ81</f>
        <v/>
      </c>
      <c r="AO82" s="159">
        <f>IF(AN82&gt;0.005,AN82*Debts!D17/12,0)</f>
        <v/>
      </c>
      <c r="AP82" s="159" t="n">
        <v>0</v>
      </c>
      <c r="AQ82" s="152">
        <f>MAX(0,AN82+AO82-AP82)</f>
        <v/>
      </c>
      <c r="AR82" s="152">
        <f>AU81</f>
        <v/>
      </c>
      <c r="AS82" s="159">
        <f>IF(AR82&gt;0.005,AR82*Debts!D18/12,0)</f>
        <v/>
      </c>
      <c r="AT82" s="159" t="n">
        <v>0</v>
      </c>
      <c r="AU82" s="152">
        <f>MAX(0,AR82+AS82-AT82)</f>
        <v/>
      </c>
      <c r="AV82" s="152">
        <f>AY81</f>
        <v/>
      </c>
      <c r="AW82" s="159">
        <f>IF(AV82&gt;0.005,AV82*Debts!D19/12,0)</f>
        <v/>
      </c>
      <c r="AX82" s="159" t="n">
        <v>0</v>
      </c>
      <c r="AY82" s="152">
        <f>MAX(0,AV82+AW82-AX82)</f>
        <v/>
      </c>
      <c r="AZ82" s="152">
        <f>BC81</f>
        <v/>
      </c>
      <c r="BA82" s="159">
        <f>IF(AZ82&gt;0.005,AZ82*Debts!D20/12,0)</f>
        <v/>
      </c>
      <c r="BB82" s="159" t="n">
        <v>0</v>
      </c>
      <c r="BC82" s="152">
        <f>MAX(0,AZ82+BA82-BB82)</f>
        <v/>
      </c>
      <c r="BD82" s="152">
        <f>BG81</f>
        <v/>
      </c>
      <c r="BE82" s="159">
        <f>IF(BD82&gt;0.005,BD82*Debts!D21/12,0)</f>
        <v/>
      </c>
      <c r="BF82" s="159" t="n">
        <v>0</v>
      </c>
      <c r="BG82" s="152">
        <f>MAX(0,BD82+BE82-BF82)</f>
        <v/>
      </c>
      <c r="BH82" s="152">
        <f>BK81</f>
        <v/>
      </c>
      <c r="BI82" s="159">
        <f>IF(BH82&gt;0.005,BH82*Debts!D22/12,0)</f>
        <v/>
      </c>
      <c r="BJ82" s="159" t="n">
        <v>0</v>
      </c>
      <c r="BK82" s="152">
        <f>MAX(0,BH82+BI82-BJ82)</f>
        <v/>
      </c>
      <c r="BL82" s="152">
        <f>BO81</f>
        <v/>
      </c>
      <c r="BM82" s="159">
        <f>IF(BL82&gt;0.005,BL82*Debts!D23/12,0)</f>
        <v/>
      </c>
      <c r="BN82" s="159" t="n">
        <v>0</v>
      </c>
      <c r="BO82" s="152">
        <f>MAX(0,BL82+BM82-BN82)</f>
        <v/>
      </c>
      <c r="BP82" s="152">
        <f>BS81</f>
        <v/>
      </c>
      <c r="BQ82" s="159">
        <f>IF(BP82&gt;0.005,BP82*Debts!D24/12,0)</f>
        <v/>
      </c>
      <c r="BR82" s="159" t="n">
        <v>0</v>
      </c>
      <c r="BS82" s="152">
        <f>MAX(0,BP82+BQ82-BR82)</f>
        <v/>
      </c>
      <c r="BT82" s="152">
        <f>BW81</f>
        <v/>
      </c>
      <c r="BU82" s="159">
        <f>IF(BT82&gt;0.005,BT82*Debts!D25/12,0)</f>
        <v/>
      </c>
      <c r="BV82" s="159" t="n">
        <v>0</v>
      </c>
      <c r="BW82" s="152">
        <f>MAX(0,BT82+BU82-BV82)</f>
        <v/>
      </c>
      <c r="BX82" s="152">
        <f>CA81</f>
        <v/>
      </c>
      <c r="BY82" s="159">
        <f>IF(BX82&gt;0.005,BX82*Debts!D26/12,0)</f>
        <v/>
      </c>
      <c r="BZ82" s="159" t="n">
        <v>0</v>
      </c>
      <c r="CA82" s="152">
        <f>MAX(0,BX82+BY82-BZ82)</f>
        <v/>
      </c>
      <c r="CB82" s="152">
        <f>CE81</f>
        <v/>
      </c>
      <c r="CC82" s="159">
        <f>IF(CB82&gt;0.005,CB82*Debts!D27/12,0)</f>
        <v/>
      </c>
      <c r="CD82" s="159" t="n">
        <v>0</v>
      </c>
      <c r="CE82" s="152">
        <f>MAX(0,CB82+CC82-CD82)</f>
        <v/>
      </c>
      <c r="CF82" s="152">
        <f>G82+K82+O82+S82+W82+AA82+AE82+AI82+AM82+AQ82+AU82+AY82+BC82+BG82+BK82+BO82+BS82+BW82+CA82+CE82</f>
        <v/>
      </c>
      <c r="CG82" s="159">
        <f>E82+I82+M82+Q82+U82+Y82+AC82+AG82+AK82+AO82+AS82+AW82+BA82+BE82+BI82+BM82+BQ82+BU82+BY82+CC82</f>
        <v/>
      </c>
      <c r="CH82" s="152">
        <f>CH81+CG82</f>
        <v/>
      </c>
      <c r="CI82" s="148" t="n"/>
      <c r="CJ82" s="148" t="n"/>
    </row>
    <row r="83" ht="15" customHeight="1" s="83">
      <c r="A83" s="148" t="n"/>
      <c r="B83" s="158" t="n">
        <v>79</v>
      </c>
      <c r="C83" s="152">
        <f>F83+J83+N83+R83+V83+Z83+AD83+AH83+AL83+AP83+AT83+AX83+BB83+BF83+BJ83+BN83+BR83+BV83+BZ83+CD83</f>
        <v/>
      </c>
      <c r="D83" s="152">
        <f>G82</f>
        <v/>
      </c>
      <c r="E83" s="159">
        <f>IF(D83&gt;0.005,D83*Debts!D8/12,0)</f>
        <v/>
      </c>
      <c r="F83" s="159" t="n">
        <v>0</v>
      </c>
      <c r="G83" s="152">
        <f>MAX(0,D83+E83-F83)</f>
        <v/>
      </c>
      <c r="H83" s="152">
        <f>K82</f>
        <v/>
      </c>
      <c r="I83" s="159">
        <f>IF(H83&gt;0.005,H83*Debts!D9/12,0)</f>
        <v/>
      </c>
      <c r="J83" s="159" t="n">
        <v>0</v>
      </c>
      <c r="K83" s="152">
        <f>MAX(0,H83+I83-J83)</f>
        <v/>
      </c>
      <c r="L83" s="152">
        <f>O82</f>
        <v/>
      </c>
      <c r="M83" s="159">
        <f>IF(L83&gt;0.005,L83*Debts!D10/12,0)</f>
        <v/>
      </c>
      <c r="N83" s="159" t="n">
        <v>0</v>
      </c>
      <c r="O83" s="152">
        <f>MAX(0,L83+M83-N83)</f>
        <v/>
      </c>
      <c r="P83" s="152">
        <f>S82</f>
        <v/>
      </c>
      <c r="Q83" s="159">
        <f>IF(P83&gt;0.005,P83*Debts!D11/12,0)</f>
        <v/>
      </c>
      <c r="R83" s="159" t="n">
        <v>0</v>
      </c>
      <c r="S83" s="152">
        <f>MAX(0,P83+Q83-R83)</f>
        <v/>
      </c>
      <c r="T83" s="152">
        <f>W82</f>
        <v/>
      </c>
      <c r="U83" s="159">
        <f>IF(T83&gt;0.005,T83*Debts!D12/12,0)</f>
        <v/>
      </c>
      <c r="V83" s="159" t="n">
        <v>0</v>
      </c>
      <c r="W83" s="152">
        <f>MAX(0,T83+U83-V83)</f>
        <v/>
      </c>
      <c r="X83" s="152">
        <f>AA82</f>
        <v/>
      </c>
      <c r="Y83" s="159">
        <f>IF(X83&gt;0.005,X83*Debts!D13/12,0)</f>
        <v/>
      </c>
      <c r="Z83" s="159" t="n">
        <v>0</v>
      </c>
      <c r="AA83" s="152">
        <f>MAX(0,X83+Y83-Z83)</f>
        <v/>
      </c>
      <c r="AB83" s="152">
        <f>AE82</f>
        <v/>
      </c>
      <c r="AC83" s="159">
        <f>IF(AB83&gt;0.005,AB83*Debts!D14/12,0)</f>
        <v/>
      </c>
      <c r="AD83" s="159" t="n">
        <v>0</v>
      </c>
      <c r="AE83" s="152">
        <f>MAX(0,AB83+AC83-AD83)</f>
        <v/>
      </c>
      <c r="AF83" s="152">
        <f>AI82</f>
        <v/>
      </c>
      <c r="AG83" s="159">
        <f>IF(AF83&gt;0.005,AF83*Debts!D15/12,0)</f>
        <v/>
      </c>
      <c r="AH83" s="159" t="n">
        <v>0</v>
      </c>
      <c r="AI83" s="152">
        <f>MAX(0,AF83+AG83-AH83)</f>
        <v/>
      </c>
      <c r="AJ83" s="152">
        <f>AM82</f>
        <v/>
      </c>
      <c r="AK83" s="159">
        <f>IF(AJ83&gt;0.005,AJ83*Debts!D16/12,0)</f>
        <v/>
      </c>
      <c r="AL83" s="159" t="n">
        <v>0</v>
      </c>
      <c r="AM83" s="152">
        <f>MAX(0,AJ83+AK83-AL83)</f>
        <v/>
      </c>
      <c r="AN83" s="152">
        <f>AQ82</f>
        <v/>
      </c>
      <c r="AO83" s="159">
        <f>IF(AN83&gt;0.005,AN83*Debts!D17/12,0)</f>
        <v/>
      </c>
      <c r="AP83" s="159" t="n">
        <v>0</v>
      </c>
      <c r="AQ83" s="152">
        <f>MAX(0,AN83+AO83-AP83)</f>
        <v/>
      </c>
      <c r="AR83" s="152">
        <f>AU82</f>
        <v/>
      </c>
      <c r="AS83" s="159">
        <f>IF(AR83&gt;0.005,AR83*Debts!D18/12,0)</f>
        <v/>
      </c>
      <c r="AT83" s="159" t="n">
        <v>0</v>
      </c>
      <c r="AU83" s="152">
        <f>MAX(0,AR83+AS83-AT83)</f>
        <v/>
      </c>
      <c r="AV83" s="152">
        <f>AY82</f>
        <v/>
      </c>
      <c r="AW83" s="159">
        <f>IF(AV83&gt;0.005,AV83*Debts!D19/12,0)</f>
        <v/>
      </c>
      <c r="AX83" s="159" t="n">
        <v>0</v>
      </c>
      <c r="AY83" s="152">
        <f>MAX(0,AV83+AW83-AX83)</f>
        <v/>
      </c>
      <c r="AZ83" s="152">
        <f>BC82</f>
        <v/>
      </c>
      <c r="BA83" s="159">
        <f>IF(AZ83&gt;0.005,AZ83*Debts!D20/12,0)</f>
        <v/>
      </c>
      <c r="BB83" s="159" t="n">
        <v>0</v>
      </c>
      <c r="BC83" s="152">
        <f>MAX(0,AZ83+BA83-BB83)</f>
        <v/>
      </c>
      <c r="BD83" s="152">
        <f>BG82</f>
        <v/>
      </c>
      <c r="BE83" s="159">
        <f>IF(BD83&gt;0.005,BD83*Debts!D21/12,0)</f>
        <v/>
      </c>
      <c r="BF83" s="159" t="n">
        <v>0</v>
      </c>
      <c r="BG83" s="152">
        <f>MAX(0,BD83+BE83-BF83)</f>
        <v/>
      </c>
      <c r="BH83" s="152">
        <f>BK82</f>
        <v/>
      </c>
      <c r="BI83" s="159">
        <f>IF(BH83&gt;0.005,BH83*Debts!D22/12,0)</f>
        <v/>
      </c>
      <c r="BJ83" s="159" t="n">
        <v>0</v>
      </c>
      <c r="BK83" s="152">
        <f>MAX(0,BH83+BI83-BJ83)</f>
        <v/>
      </c>
      <c r="BL83" s="152">
        <f>BO82</f>
        <v/>
      </c>
      <c r="BM83" s="159">
        <f>IF(BL83&gt;0.005,BL83*Debts!D23/12,0)</f>
        <v/>
      </c>
      <c r="BN83" s="159" t="n">
        <v>0</v>
      </c>
      <c r="BO83" s="152">
        <f>MAX(0,BL83+BM83-BN83)</f>
        <v/>
      </c>
      <c r="BP83" s="152">
        <f>BS82</f>
        <v/>
      </c>
      <c r="BQ83" s="159">
        <f>IF(BP83&gt;0.005,BP83*Debts!D24/12,0)</f>
        <v/>
      </c>
      <c r="BR83" s="159" t="n">
        <v>0</v>
      </c>
      <c r="BS83" s="152">
        <f>MAX(0,BP83+BQ83-BR83)</f>
        <v/>
      </c>
      <c r="BT83" s="152">
        <f>BW82</f>
        <v/>
      </c>
      <c r="BU83" s="159">
        <f>IF(BT83&gt;0.005,BT83*Debts!D25/12,0)</f>
        <v/>
      </c>
      <c r="BV83" s="159" t="n">
        <v>0</v>
      </c>
      <c r="BW83" s="152">
        <f>MAX(0,BT83+BU83-BV83)</f>
        <v/>
      </c>
      <c r="BX83" s="152">
        <f>CA82</f>
        <v/>
      </c>
      <c r="BY83" s="159">
        <f>IF(BX83&gt;0.005,BX83*Debts!D26/12,0)</f>
        <v/>
      </c>
      <c r="BZ83" s="159" t="n">
        <v>0</v>
      </c>
      <c r="CA83" s="152">
        <f>MAX(0,BX83+BY83-BZ83)</f>
        <v/>
      </c>
      <c r="CB83" s="152">
        <f>CE82</f>
        <v/>
      </c>
      <c r="CC83" s="159">
        <f>IF(CB83&gt;0.005,CB83*Debts!D27/12,0)</f>
        <v/>
      </c>
      <c r="CD83" s="159" t="n">
        <v>0</v>
      </c>
      <c r="CE83" s="152">
        <f>MAX(0,CB83+CC83-CD83)</f>
        <v/>
      </c>
      <c r="CF83" s="152">
        <f>G83+K83+O83+S83+W83+AA83+AE83+AI83+AM83+AQ83+AU83+AY83+BC83+BG83+BK83+BO83+BS83+BW83+CA83+CE83</f>
        <v/>
      </c>
      <c r="CG83" s="159">
        <f>E83+I83+M83+Q83+U83+Y83+AC83+AG83+AK83+AO83+AS83+AW83+BA83+BE83+BI83+BM83+BQ83+BU83+BY83+CC83</f>
        <v/>
      </c>
      <c r="CH83" s="152">
        <f>CH82+CG83</f>
        <v/>
      </c>
      <c r="CI83" s="148" t="n"/>
      <c r="CJ83" s="148" t="n"/>
    </row>
    <row r="84" ht="15" customHeight="1" s="83">
      <c r="A84" s="148" t="n"/>
      <c r="B84" s="158" t="n">
        <v>80</v>
      </c>
      <c r="C84" s="152">
        <f>F84+J84+N84+R84+V84+Z84+AD84+AH84+AL84+AP84+AT84+AX84+BB84+BF84+BJ84+BN84+BR84+BV84+BZ84+CD84</f>
        <v/>
      </c>
      <c r="D84" s="152">
        <f>G83</f>
        <v/>
      </c>
      <c r="E84" s="159">
        <f>IF(D84&gt;0.005,D84*Debts!D8/12,0)</f>
        <v/>
      </c>
      <c r="F84" s="159" t="n">
        <v>0</v>
      </c>
      <c r="G84" s="152">
        <f>MAX(0,D84+E84-F84)</f>
        <v/>
      </c>
      <c r="H84" s="152">
        <f>K83</f>
        <v/>
      </c>
      <c r="I84" s="159">
        <f>IF(H84&gt;0.005,H84*Debts!D9/12,0)</f>
        <v/>
      </c>
      <c r="J84" s="159" t="n">
        <v>0</v>
      </c>
      <c r="K84" s="152">
        <f>MAX(0,H84+I84-J84)</f>
        <v/>
      </c>
      <c r="L84" s="152">
        <f>O83</f>
        <v/>
      </c>
      <c r="M84" s="159">
        <f>IF(L84&gt;0.005,L84*Debts!D10/12,0)</f>
        <v/>
      </c>
      <c r="N84" s="159" t="n">
        <v>0</v>
      </c>
      <c r="O84" s="152">
        <f>MAX(0,L84+M84-N84)</f>
        <v/>
      </c>
      <c r="P84" s="152">
        <f>S83</f>
        <v/>
      </c>
      <c r="Q84" s="159">
        <f>IF(P84&gt;0.005,P84*Debts!D11/12,0)</f>
        <v/>
      </c>
      <c r="R84" s="159" t="n">
        <v>0</v>
      </c>
      <c r="S84" s="152">
        <f>MAX(0,P84+Q84-R84)</f>
        <v/>
      </c>
      <c r="T84" s="152">
        <f>W83</f>
        <v/>
      </c>
      <c r="U84" s="159">
        <f>IF(T84&gt;0.005,T84*Debts!D12/12,0)</f>
        <v/>
      </c>
      <c r="V84" s="159" t="n">
        <v>0</v>
      </c>
      <c r="W84" s="152">
        <f>MAX(0,T84+U84-V84)</f>
        <v/>
      </c>
      <c r="X84" s="152">
        <f>AA83</f>
        <v/>
      </c>
      <c r="Y84" s="159">
        <f>IF(X84&gt;0.005,X84*Debts!D13/12,0)</f>
        <v/>
      </c>
      <c r="Z84" s="159" t="n">
        <v>0</v>
      </c>
      <c r="AA84" s="152">
        <f>MAX(0,X84+Y84-Z84)</f>
        <v/>
      </c>
      <c r="AB84" s="152">
        <f>AE83</f>
        <v/>
      </c>
      <c r="AC84" s="159">
        <f>IF(AB84&gt;0.005,AB84*Debts!D14/12,0)</f>
        <v/>
      </c>
      <c r="AD84" s="159" t="n">
        <v>0</v>
      </c>
      <c r="AE84" s="152">
        <f>MAX(0,AB84+AC84-AD84)</f>
        <v/>
      </c>
      <c r="AF84" s="152">
        <f>AI83</f>
        <v/>
      </c>
      <c r="AG84" s="159">
        <f>IF(AF84&gt;0.005,AF84*Debts!D15/12,0)</f>
        <v/>
      </c>
      <c r="AH84" s="159" t="n">
        <v>0</v>
      </c>
      <c r="AI84" s="152">
        <f>MAX(0,AF84+AG84-AH84)</f>
        <v/>
      </c>
      <c r="AJ84" s="152">
        <f>AM83</f>
        <v/>
      </c>
      <c r="AK84" s="159">
        <f>IF(AJ84&gt;0.005,AJ84*Debts!D16/12,0)</f>
        <v/>
      </c>
      <c r="AL84" s="159" t="n">
        <v>0</v>
      </c>
      <c r="AM84" s="152">
        <f>MAX(0,AJ84+AK84-AL84)</f>
        <v/>
      </c>
      <c r="AN84" s="152">
        <f>AQ83</f>
        <v/>
      </c>
      <c r="AO84" s="159">
        <f>IF(AN84&gt;0.005,AN84*Debts!D17/12,0)</f>
        <v/>
      </c>
      <c r="AP84" s="159" t="n">
        <v>0</v>
      </c>
      <c r="AQ84" s="152">
        <f>MAX(0,AN84+AO84-AP84)</f>
        <v/>
      </c>
      <c r="AR84" s="152">
        <f>AU83</f>
        <v/>
      </c>
      <c r="AS84" s="159">
        <f>IF(AR84&gt;0.005,AR84*Debts!D18/12,0)</f>
        <v/>
      </c>
      <c r="AT84" s="159" t="n">
        <v>0</v>
      </c>
      <c r="AU84" s="152">
        <f>MAX(0,AR84+AS84-AT84)</f>
        <v/>
      </c>
      <c r="AV84" s="152">
        <f>AY83</f>
        <v/>
      </c>
      <c r="AW84" s="159">
        <f>IF(AV84&gt;0.005,AV84*Debts!D19/12,0)</f>
        <v/>
      </c>
      <c r="AX84" s="159" t="n">
        <v>0</v>
      </c>
      <c r="AY84" s="152">
        <f>MAX(0,AV84+AW84-AX84)</f>
        <v/>
      </c>
      <c r="AZ84" s="152">
        <f>BC83</f>
        <v/>
      </c>
      <c r="BA84" s="159">
        <f>IF(AZ84&gt;0.005,AZ84*Debts!D20/12,0)</f>
        <v/>
      </c>
      <c r="BB84" s="159" t="n">
        <v>0</v>
      </c>
      <c r="BC84" s="152">
        <f>MAX(0,AZ84+BA84-BB84)</f>
        <v/>
      </c>
      <c r="BD84" s="152">
        <f>BG83</f>
        <v/>
      </c>
      <c r="BE84" s="159">
        <f>IF(BD84&gt;0.005,BD84*Debts!D21/12,0)</f>
        <v/>
      </c>
      <c r="BF84" s="159" t="n">
        <v>0</v>
      </c>
      <c r="BG84" s="152">
        <f>MAX(0,BD84+BE84-BF84)</f>
        <v/>
      </c>
      <c r="BH84" s="152">
        <f>BK83</f>
        <v/>
      </c>
      <c r="BI84" s="159">
        <f>IF(BH84&gt;0.005,BH84*Debts!D22/12,0)</f>
        <v/>
      </c>
      <c r="BJ84" s="159" t="n">
        <v>0</v>
      </c>
      <c r="BK84" s="152">
        <f>MAX(0,BH84+BI84-BJ84)</f>
        <v/>
      </c>
      <c r="BL84" s="152">
        <f>BO83</f>
        <v/>
      </c>
      <c r="BM84" s="159">
        <f>IF(BL84&gt;0.005,BL84*Debts!D23/12,0)</f>
        <v/>
      </c>
      <c r="BN84" s="159" t="n">
        <v>0</v>
      </c>
      <c r="BO84" s="152">
        <f>MAX(0,BL84+BM84-BN84)</f>
        <v/>
      </c>
      <c r="BP84" s="152">
        <f>BS83</f>
        <v/>
      </c>
      <c r="BQ84" s="159">
        <f>IF(BP84&gt;0.005,BP84*Debts!D24/12,0)</f>
        <v/>
      </c>
      <c r="BR84" s="159" t="n">
        <v>0</v>
      </c>
      <c r="BS84" s="152">
        <f>MAX(0,BP84+BQ84-BR84)</f>
        <v/>
      </c>
      <c r="BT84" s="152">
        <f>BW83</f>
        <v/>
      </c>
      <c r="BU84" s="159">
        <f>IF(BT84&gt;0.005,BT84*Debts!D25/12,0)</f>
        <v/>
      </c>
      <c r="BV84" s="159" t="n">
        <v>0</v>
      </c>
      <c r="BW84" s="152">
        <f>MAX(0,BT84+BU84-BV84)</f>
        <v/>
      </c>
      <c r="BX84" s="152">
        <f>CA83</f>
        <v/>
      </c>
      <c r="BY84" s="159">
        <f>IF(BX84&gt;0.005,BX84*Debts!D26/12,0)</f>
        <v/>
      </c>
      <c r="BZ84" s="159" t="n">
        <v>0</v>
      </c>
      <c r="CA84" s="152">
        <f>MAX(0,BX84+BY84-BZ84)</f>
        <v/>
      </c>
      <c r="CB84" s="152">
        <f>CE83</f>
        <v/>
      </c>
      <c r="CC84" s="159">
        <f>IF(CB84&gt;0.005,CB84*Debts!D27/12,0)</f>
        <v/>
      </c>
      <c r="CD84" s="159" t="n">
        <v>0</v>
      </c>
      <c r="CE84" s="152">
        <f>MAX(0,CB84+CC84-CD84)</f>
        <v/>
      </c>
      <c r="CF84" s="152">
        <f>G84+K84+O84+S84+W84+AA84+AE84+AI84+AM84+AQ84+AU84+AY84+BC84+BG84+BK84+BO84+BS84+BW84+CA84+CE84</f>
        <v/>
      </c>
      <c r="CG84" s="159">
        <f>E84+I84+M84+Q84+U84+Y84+AC84+AG84+AK84+AO84+AS84+AW84+BA84+BE84+BI84+BM84+BQ84+BU84+BY84+CC84</f>
        <v/>
      </c>
      <c r="CH84" s="152">
        <f>CH83+CG84</f>
        <v/>
      </c>
      <c r="CI84" s="148" t="n"/>
      <c r="CJ84" s="148" t="n"/>
    </row>
    <row r="85" ht="15" customHeight="1" s="83">
      <c r="A85" s="148" t="n"/>
      <c r="B85" s="158" t="n">
        <v>81</v>
      </c>
      <c r="C85" s="152">
        <f>F85+J85+N85+R85+V85+Z85+AD85+AH85+AL85+AP85+AT85+AX85+BB85+BF85+BJ85+BN85+BR85+BV85+BZ85+CD85</f>
        <v/>
      </c>
      <c r="D85" s="152">
        <f>G84</f>
        <v/>
      </c>
      <c r="E85" s="159">
        <f>IF(D85&gt;0.005,D85*Debts!D8/12,0)</f>
        <v/>
      </c>
      <c r="F85" s="159" t="n">
        <v>0</v>
      </c>
      <c r="G85" s="152">
        <f>MAX(0,D85+E85-F85)</f>
        <v/>
      </c>
      <c r="H85" s="152">
        <f>K84</f>
        <v/>
      </c>
      <c r="I85" s="159">
        <f>IF(H85&gt;0.005,H85*Debts!D9/12,0)</f>
        <v/>
      </c>
      <c r="J85" s="159" t="n">
        <v>0</v>
      </c>
      <c r="K85" s="152">
        <f>MAX(0,H85+I85-J85)</f>
        <v/>
      </c>
      <c r="L85" s="152">
        <f>O84</f>
        <v/>
      </c>
      <c r="M85" s="159">
        <f>IF(L85&gt;0.005,L85*Debts!D10/12,0)</f>
        <v/>
      </c>
      <c r="N85" s="159" t="n">
        <v>0</v>
      </c>
      <c r="O85" s="152">
        <f>MAX(0,L85+M85-N85)</f>
        <v/>
      </c>
      <c r="P85" s="152">
        <f>S84</f>
        <v/>
      </c>
      <c r="Q85" s="159">
        <f>IF(P85&gt;0.005,P85*Debts!D11/12,0)</f>
        <v/>
      </c>
      <c r="R85" s="159" t="n">
        <v>0</v>
      </c>
      <c r="S85" s="152">
        <f>MAX(0,P85+Q85-R85)</f>
        <v/>
      </c>
      <c r="T85" s="152">
        <f>W84</f>
        <v/>
      </c>
      <c r="U85" s="159">
        <f>IF(T85&gt;0.005,T85*Debts!D12/12,0)</f>
        <v/>
      </c>
      <c r="V85" s="159" t="n">
        <v>0</v>
      </c>
      <c r="W85" s="152">
        <f>MAX(0,T85+U85-V85)</f>
        <v/>
      </c>
      <c r="X85" s="152">
        <f>AA84</f>
        <v/>
      </c>
      <c r="Y85" s="159">
        <f>IF(X85&gt;0.005,X85*Debts!D13/12,0)</f>
        <v/>
      </c>
      <c r="Z85" s="159" t="n">
        <v>0</v>
      </c>
      <c r="AA85" s="152">
        <f>MAX(0,X85+Y85-Z85)</f>
        <v/>
      </c>
      <c r="AB85" s="152">
        <f>AE84</f>
        <v/>
      </c>
      <c r="AC85" s="159">
        <f>IF(AB85&gt;0.005,AB85*Debts!D14/12,0)</f>
        <v/>
      </c>
      <c r="AD85" s="159" t="n">
        <v>0</v>
      </c>
      <c r="AE85" s="152">
        <f>MAX(0,AB85+AC85-AD85)</f>
        <v/>
      </c>
      <c r="AF85" s="152">
        <f>AI84</f>
        <v/>
      </c>
      <c r="AG85" s="159">
        <f>IF(AF85&gt;0.005,AF85*Debts!D15/12,0)</f>
        <v/>
      </c>
      <c r="AH85" s="159" t="n">
        <v>0</v>
      </c>
      <c r="AI85" s="152">
        <f>MAX(0,AF85+AG85-AH85)</f>
        <v/>
      </c>
      <c r="AJ85" s="152">
        <f>AM84</f>
        <v/>
      </c>
      <c r="AK85" s="159">
        <f>IF(AJ85&gt;0.005,AJ85*Debts!D16/12,0)</f>
        <v/>
      </c>
      <c r="AL85" s="159" t="n">
        <v>0</v>
      </c>
      <c r="AM85" s="152">
        <f>MAX(0,AJ85+AK85-AL85)</f>
        <v/>
      </c>
      <c r="AN85" s="152">
        <f>AQ84</f>
        <v/>
      </c>
      <c r="AO85" s="159">
        <f>IF(AN85&gt;0.005,AN85*Debts!D17/12,0)</f>
        <v/>
      </c>
      <c r="AP85" s="159" t="n">
        <v>0</v>
      </c>
      <c r="AQ85" s="152">
        <f>MAX(0,AN85+AO85-AP85)</f>
        <v/>
      </c>
      <c r="AR85" s="152">
        <f>AU84</f>
        <v/>
      </c>
      <c r="AS85" s="159">
        <f>IF(AR85&gt;0.005,AR85*Debts!D18/12,0)</f>
        <v/>
      </c>
      <c r="AT85" s="159" t="n">
        <v>0</v>
      </c>
      <c r="AU85" s="152">
        <f>MAX(0,AR85+AS85-AT85)</f>
        <v/>
      </c>
      <c r="AV85" s="152">
        <f>AY84</f>
        <v/>
      </c>
      <c r="AW85" s="159">
        <f>IF(AV85&gt;0.005,AV85*Debts!D19/12,0)</f>
        <v/>
      </c>
      <c r="AX85" s="159" t="n">
        <v>0</v>
      </c>
      <c r="AY85" s="152">
        <f>MAX(0,AV85+AW85-AX85)</f>
        <v/>
      </c>
      <c r="AZ85" s="152">
        <f>BC84</f>
        <v/>
      </c>
      <c r="BA85" s="159">
        <f>IF(AZ85&gt;0.005,AZ85*Debts!D20/12,0)</f>
        <v/>
      </c>
      <c r="BB85" s="159" t="n">
        <v>0</v>
      </c>
      <c r="BC85" s="152">
        <f>MAX(0,AZ85+BA85-BB85)</f>
        <v/>
      </c>
      <c r="BD85" s="152">
        <f>BG84</f>
        <v/>
      </c>
      <c r="BE85" s="159">
        <f>IF(BD85&gt;0.005,BD85*Debts!D21/12,0)</f>
        <v/>
      </c>
      <c r="BF85" s="159" t="n">
        <v>0</v>
      </c>
      <c r="BG85" s="152">
        <f>MAX(0,BD85+BE85-BF85)</f>
        <v/>
      </c>
      <c r="BH85" s="152">
        <f>BK84</f>
        <v/>
      </c>
      <c r="BI85" s="159">
        <f>IF(BH85&gt;0.005,BH85*Debts!D22/12,0)</f>
        <v/>
      </c>
      <c r="BJ85" s="159" t="n">
        <v>0</v>
      </c>
      <c r="BK85" s="152">
        <f>MAX(0,BH85+BI85-BJ85)</f>
        <v/>
      </c>
      <c r="BL85" s="152">
        <f>BO84</f>
        <v/>
      </c>
      <c r="BM85" s="159">
        <f>IF(BL85&gt;0.005,BL85*Debts!D23/12,0)</f>
        <v/>
      </c>
      <c r="BN85" s="159" t="n">
        <v>0</v>
      </c>
      <c r="BO85" s="152">
        <f>MAX(0,BL85+BM85-BN85)</f>
        <v/>
      </c>
      <c r="BP85" s="152">
        <f>BS84</f>
        <v/>
      </c>
      <c r="BQ85" s="159">
        <f>IF(BP85&gt;0.005,BP85*Debts!D24/12,0)</f>
        <v/>
      </c>
      <c r="BR85" s="159" t="n">
        <v>0</v>
      </c>
      <c r="BS85" s="152">
        <f>MAX(0,BP85+BQ85-BR85)</f>
        <v/>
      </c>
      <c r="BT85" s="152">
        <f>BW84</f>
        <v/>
      </c>
      <c r="BU85" s="159">
        <f>IF(BT85&gt;0.005,BT85*Debts!D25/12,0)</f>
        <v/>
      </c>
      <c r="BV85" s="159" t="n">
        <v>0</v>
      </c>
      <c r="BW85" s="152">
        <f>MAX(0,BT85+BU85-BV85)</f>
        <v/>
      </c>
      <c r="BX85" s="152">
        <f>CA84</f>
        <v/>
      </c>
      <c r="BY85" s="159">
        <f>IF(BX85&gt;0.005,BX85*Debts!D26/12,0)</f>
        <v/>
      </c>
      <c r="BZ85" s="159" t="n">
        <v>0</v>
      </c>
      <c r="CA85" s="152">
        <f>MAX(0,BX85+BY85-BZ85)</f>
        <v/>
      </c>
      <c r="CB85" s="152">
        <f>CE84</f>
        <v/>
      </c>
      <c r="CC85" s="159">
        <f>IF(CB85&gt;0.005,CB85*Debts!D27/12,0)</f>
        <v/>
      </c>
      <c r="CD85" s="159" t="n">
        <v>0</v>
      </c>
      <c r="CE85" s="152">
        <f>MAX(0,CB85+CC85-CD85)</f>
        <v/>
      </c>
      <c r="CF85" s="152">
        <f>G85+K85+O85+S85+W85+AA85+AE85+AI85+AM85+AQ85+AU85+AY85+BC85+BG85+BK85+BO85+BS85+BW85+CA85+CE85</f>
        <v/>
      </c>
      <c r="CG85" s="159">
        <f>E85+I85+M85+Q85+U85+Y85+AC85+AG85+AK85+AO85+AS85+AW85+BA85+BE85+BI85+BM85+BQ85+BU85+BY85+CC85</f>
        <v/>
      </c>
      <c r="CH85" s="152">
        <f>CH84+CG85</f>
        <v/>
      </c>
      <c r="CI85" s="148" t="n"/>
      <c r="CJ85" s="148" t="n"/>
    </row>
    <row r="86" ht="15" customHeight="1" s="83">
      <c r="A86" s="148" t="n"/>
      <c r="B86" s="158" t="n">
        <v>82</v>
      </c>
      <c r="C86" s="152">
        <f>F86+J86+N86+R86+V86+Z86+AD86+AH86+AL86+AP86+AT86+AX86+BB86+BF86+BJ86+BN86+BR86+BV86+BZ86+CD86</f>
        <v/>
      </c>
      <c r="D86" s="152">
        <f>G85</f>
        <v/>
      </c>
      <c r="E86" s="159">
        <f>IF(D86&gt;0.005,D86*Debts!D8/12,0)</f>
        <v/>
      </c>
      <c r="F86" s="159" t="n">
        <v>0</v>
      </c>
      <c r="G86" s="152">
        <f>MAX(0,D86+E86-F86)</f>
        <v/>
      </c>
      <c r="H86" s="152">
        <f>K85</f>
        <v/>
      </c>
      <c r="I86" s="159">
        <f>IF(H86&gt;0.005,H86*Debts!D9/12,0)</f>
        <v/>
      </c>
      <c r="J86" s="159" t="n">
        <v>0</v>
      </c>
      <c r="K86" s="152">
        <f>MAX(0,H86+I86-J86)</f>
        <v/>
      </c>
      <c r="L86" s="152">
        <f>O85</f>
        <v/>
      </c>
      <c r="M86" s="159">
        <f>IF(L86&gt;0.005,L86*Debts!D10/12,0)</f>
        <v/>
      </c>
      <c r="N86" s="159" t="n">
        <v>0</v>
      </c>
      <c r="O86" s="152">
        <f>MAX(0,L86+M86-N86)</f>
        <v/>
      </c>
      <c r="P86" s="152">
        <f>S85</f>
        <v/>
      </c>
      <c r="Q86" s="159">
        <f>IF(P86&gt;0.005,P86*Debts!D11/12,0)</f>
        <v/>
      </c>
      <c r="R86" s="159" t="n">
        <v>0</v>
      </c>
      <c r="S86" s="152">
        <f>MAX(0,P86+Q86-R86)</f>
        <v/>
      </c>
      <c r="T86" s="152">
        <f>W85</f>
        <v/>
      </c>
      <c r="U86" s="159">
        <f>IF(T86&gt;0.005,T86*Debts!D12/12,0)</f>
        <v/>
      </c>
      <c r="V86" s="159" t="n">
        <v>0</v>
      </c>
      <c r="W86" s="152">
        <f>MAX(0,T86+U86-V86)</f>
        <v/>
      </c>
      <c r="X86" s="152">
        <f>AA85</f>
        <v/>
      </c>
      <c r="Y86" s="159">
        <f>IF(X86&gt;0.005,X86*Debts!D13/12,0)</f>
        <v/>
      </c>
      <c r="Z86" s="159" t="n">
        <v>0</v>
      </c>
      <c r="AA86" s="152">
        <f>MAX(0,X86+Y86-Z86)</f>
        <v/>
      </c>
      <c r="AB86" s="152">
        <f>AE85</f>
        <v/>
      </c>
      <c r="AC86" s="159">
        <f>IF(AB86&gt;0.005,AB86*Debts!D14/12,0)</f>
        <v/>
      </c>
      <c r="AD86" s="159" t="n">
        <v>0</v>
      </c>
      <c r="AE86" s="152">
        <f>MAX(0,AB86+AC86-AD86)</f>
        <v/>
      </c>
      <c r="AF86" s="152">
        <f>AI85</f>
        <v/>
      </c>
      <c r="AG86" s="159">
        <f>IF(AF86&gt;0.005,AF86*Debts!D15/12,0)</f>
        <v/>
      </c>
      <c r="AH86" s="159" t="n">
        <v>0</v>
      </c>
      <c r="AI86" s="152">
        <f>MAX(0,AF86+AG86-AH86)</f>
        <v/>
      </c>
      <c r="AJ86" s="152">
        <f>AM85</f>
        <v/>
      </c>
      <c r="AK86" s="159">
        <f>IF(AJ86&gt;0.005,AJ86*Debts!D16/12,0)</f>
        <v/>
      </c>
      <c r="AL86" s="159" t="n">
        <v>0</v>
      </c>
      <c r="AM86" s="152">
        <f>MAX(0,AJ86+AK86-AL86)</f>
        <v/>
      </c>
      <c r="AN86" s="152">
        <f>AQ85</f>
        <v/>
      </c>
      <c r="AO86" s="159">
        <f>IF(AN86&gt;0.005,AN86*Debts!D17/12,0)</f>
        <v/>
      </c>
      <c r="AP86" s="159" t="n">
        <v>0</v>
      </c>
      <c r="AQ86" s="152">
        <f>MAX(0,AN86+AO86-AP86)</f>
        <v/>
      </c>
      <c r="AR86" s="152">
        <f>AU85</f>
        <v/>
      </c>
      <c r="AS86" s="159">
        <f>IF(AR86&gt;0.005,AR86*Debts!D18/12,0)</f>
        <v/>
      </c>
      <c r="AT86" s="159" t="n">
        <v>0</v>
      </c>
      <c r="AU86" s="152">
        <f>MAX(0,AR86+AS86-AT86)</f>
        <v/>
      </c>
      <c r="AV86" s="152">
        <f>AY85</f>
        <v/>
      </c>
      <c r="AW86" s="159">
        <f>IF(AV86&gt;0.005,AV86*Debts!D19/12,0)</f>
        <v/>
      </c>
      <c r="AX86" s="159" t="n">
        <v>0</v>
      </c>
      <c r="AY86" s="152">
        <f>MAX(0,AV86+AW86-AX86)</f>
        <v/>
      </c>
      <c r="AZ86" s="152">
        <f>BC85</f>
        <v/>
      </c>
      <c r="BA86" s="159">
        <f>IF(AZ86&gt;0.005,AZ86*Debts!D20/12,0)</f>
        <v/>
      </c>
      <c r="BB86" s="159" t="n">
        <v>0</v>
      </c>
      <c r="BC86" s="152">
        <f>MAX(0,AZ86+BA86-BB86)</f>
        <v/>
      </c>
      <c r="BD86" s="152">
        <f>BG85</f>
        <v/>
      </c>
      <c r="BE86" s="159">
        <f>IF(BD86&gt;0.005,BD86*Debts!D21/12,0)</f>
        <v/>
      </c>
      <c r="BF86" s="159" t="n">
        <v>0</v>
      </c>
      <c r="BG86" s="152">
        <f>MAX(0,BD86+BE86-BF86)</f>
        <v/>
      </c>
      <c r="BH86" s="152">
        <f>BK85</f>
        <v/>
      </c>
      <c r="BI86" s="159">
        <f>IF(BH86&gt;0.005,BH86*Debts!D22/12,0)</f>
        <v/>
      </c>
      <c r="BJ86" s="159" t="n">
        <v>0</v>
      </c>
      <c r="BK86" s="152">
        <f>MAX(0,BH86+BI86-BJ86)</f>
        <v/>
      </c>
      <c r="BL86" s="152">
        <f>BO85</f>
        <v/>
      </c>
      <c r="BM86" s="159">
        <f>IF(BL86&gt;0.005,BL86*Debts!D23/12,0)</f>
        <v/>
      </c>
      <c r="BN86" s="159" t="n">
        <v>0</v>
      </c>
      <c r="BO86" s="152">
        <f>MAX(0,BL86+BM86-BN86)</f>
        <v/>
      </c>
      <c r="BP86" s="152">
        <f>BS85</f>
        <v/>
      </c>
      <c r="BQ86" s="159">
        <f>IF(BP86&gt;0.005,BP86*Debts!D24/12,0)</f>
        <v/>
      </c>
      <c r="BR86" s="159" t="n">
        <v>0</v>
      </c>
      <c r="BS86" s="152">
        <f>MAX(0,BP86+BQ86-BR86)</f>
        <v/>
      </c>
      <c r="BT86" s="152">
        <f>BW85</f>
        <v/>
      </c>
      <c r="BU86" s="159">
        <f>IF(BT86&gt;0.005,BT86*Debts!D25/12,0)</f>
        <v/>
      </c>
      <c r="BV86" s="159" t="n">
        <v>0</v>
      </c>
      <c r="BW86" s="152">
        <f>MAX(0,BT86+BU86-BV86)</f>
        <v/>
      </c>
      <c r="BX86" s="152">
        <f>CA85</f>
        <v/>
      </c>
      <c r="BY86" s="159">
        <f>IF(BX86&gt;0.005,BX86*Debts!D26/12,0)</f>
        <v/>
      </c>
      <c r="BZ86" s="159" t="n">
        <v>0</v>
      </c>
      <c r="CA86" s="152">
        <f>MAX(0,BX86+BY86-BZ86)</f>
        <v/>
      </c>
      <c r="CB86" s="152">
        <f>CE85</f>
        <v/>
      </c>
      <c r="CC86" s="159">
        <f>IF(CB86&gt;0.005,CB86*Debts!D27/12,0)</f>
        <v/>
      </c>
      <c r="CD86" s="159" t="n">
        <v>0</v>
      </c>
      <c r="CE86" s="152">
        <f>MAX(0,CB86+CC86-CD86)</f>
        <v/>
      </c>
      <c r="CF86" s="152">
        <f>G86+K86+O86+S86+W86+AA86+AE86+AI86+AM86+AQ86+AU86+AY86+BC86+BG86+BK86+BO86+BS86+BW86+CA86+CE86</f>
        <v/>
      </c>
      <c r="CG86" s="159">
        <f>E86+I86+M86+Q86+U86+Y86+AC86+AG86+AK86+AO86+AS86+AW86+BA86+BE86+BI86+BM86+BQ86+BU86+BY86+CC86</f>
        <v/>
      </c>
      <c r="CH86" s="152">
        <f>CH85+CG86</f>
        <v/>
      </c>
      <c r="CI86" s="148" t="n"/>
      <c r="CJ86" s="148" t="n"/>
    </row>
    <row r="87" ht="15" customHeight="1" s="83">
      <c r="A87" s="148" t="n"/>
      <c r="B87" s="158" t="n">
        <v>83</v>
      </c>
      <c r="C87" s="152">
        <f>F87+J87+N87+R87+V87+Z87+AD87+AH87+AL87+AP87+AT87+AX87+BB87+BF87+BJ87+BN87+BR87+BV87+BZ87+CD87</f>
        <v/>
      </c>
      <c r="D87" s="152">
        <f>G86</f>
        <v/>
      </c>
      <c r="E87" s="159">
        <f>IF(D87&gt;0.005,D87*Debts!D8/12,0)</f>
        <v/>
      </c>
      <c r="F87" s="159" t="n">
        <v>0</v>
      </c>
      <c r="G87" s="152">
        <f>MAX(0,D87+E87-F87)</f>
        <v/>
      </c>
      <c r="H87" s="152">
        <f>K86</f>
        <v/>
      </c>
      <c r="I87" s="159">
        <f>IF(H87&gt;0.005,H87*Debts!D9/12,0)</f>
        <v/>
      </c>
      <c r="J87" s="159" t="n">
        <v>0</v>
      </c>
      <c r="K87" s="152">
        <f>MAX(0,H87+I87-J87)</f>
        <v/>
      </c>
      <c r="L87" s="152">
        <f>O86</f>
        <v/>
      </c>
      <c r="M87" s="159">
        <f>IF(L87&gt;0.005,L87*Debts!D10/12,0)</f>
        <v/>
      </c>
      <c r="N87" s="159" t="n">
        <v>0</v>
      </c>
      <c r="O87" s="152">
        <f>MAX(0,L87+M87-N87)</f>
        <v/>
      </c>
      <c r="P87" s="152">
        <f>S86</f>
        <v/>
      </c>
      <c r="Q87" s="159">
        <f>IF(P87&gt;0.005,P87*Debts!D11/12,0)</f>
        <v/>
      </c>
      <c r="R87" s="159" t="n">
        <v>0</v>
      </c>
      <c r="S87" s="152">
        <f>MAX(0,P87+Q87-R87)</f>
        <v/>
      </c>
      <c r="T87" s="152">
        <f>W86</f>
        <v/>
      </c>
      <c r="U87" s="159">
        <f>IF(T87&gt;0.005,T87*Debts!D12/12,0)</f>
        <v/>
      </c>
      <c r="V87" s="159" t="n">
        <v>0</v>
      </c>
      <c r="W87" s="152">
        <f>MAX(0,T87+U87-V87)</f>
        <v/>
      </c>
      <c r="X87" s="152">
        <f>AA86</f>
        <v/>
      </c>
      <c r="Y87" s="159">
        <f>IF(X87&gt;0.005,X87*Debts!D13/12,0)</f>
        <v/>
      </c>
      <c r="Z87" s="159" t="n">
        <v>0</v>
      </c>
      <c r="AA87" s="152">
        <f>MAX(0,X87+Y87-Z87)</f>
        <v/>
      </c>
      <c r="AB87" s="152">
        <f>AE86</f>
        <v/>
      </c>
      <c r="AC87" s="159">
        <f>IF(AB87&gt;0.005,AB87*Debts!D14/12,0)</f>
        <v/>
      </c>
      <c r="AD87" s="159" t="n">
        <v>0</v>
      </c>
      <c r="AE87" s="152">
        <f>MAX(0,AB87+AC87-AD87)</f>
        <v/>
      </c>
      <c r="AF87" s="152">
        <f>AI86</f>
        <v/>
      </c>
      <c r="AG87" s="159">
        <f>IF(AF87&gt;0.005,AF87*Debts!D15/12,0)</f>
        <v/>
      </c>
      <c r="AH87" s="159" t="n">
        <v>0</v>
      </c>
      <c r="AI87" s="152">
        <f>MAX(0,AF87+AG87-AH87)</f>
        <v/>
      </c>
      <c r="AJ87" s="152">
        <f>AM86</f>
        <v/>
      </c>
      <c r="AK87" s="159">
        <f>IF(AJ87&gt;0.005,AJ87*Debts!D16/12,0)</f>
        <v/>
      </c>
      <c r="AL87" s="159" t="n">
        <v>0</v>
      </c>
      <c r="AM87" s="152">
        <f>MAX(0,AJ87+AK87-AL87)</f>
        <v/>
      </c>
      <c r="AN87" s="152">
        <f>AQ86</f>
        <v/>
      </c>
      <c r="AO87" s="159">
        <f>IF(AN87&gt;0.005,AN87*Debts!D17/12,0)</f>
        <v/>
      </c>
      <c r="AP87" s="159" t="n">
        <v>0</v>
      </c>
      <c r="AQ87" s="152">
        <f>MAX(0,AN87+AO87-AP87)</f>
        <v/>
      </c>
      <c r="AR87" s="152">
        <f>AU86</f>
        <v/>
      </c>
      <c r="AS87" s="159">
        <f>IF(AR87&gt;0.005,AR87*Debts!D18/12,0)</f>
        <v/>
      </c>
      <c r="AT87" s="159" t="n">
        <v>0</v>
      </c>
      <c r="AU87" s="152">
        <f>MAX(0,AR87+AS87-AT87)</f>
        <v/>
      </c>
      <c r="AV87" s="152">
        <f>AY86</f>
        <v/>
      </c>
      <c r="AW87" s="159">
        <f>IF(AV87&gt;0.005,AV87*Debts!D19/12,0)</f>
        <v/>
      </c>
      <c r="AX87" s="159" t="n">
        <v>0</v>
      </c>
      <c r="AY87" s="152">
        <f>MAX(0,AV87+AW87-AX87)</f>
        <v/>
      </c>
      <c r="AZ87" s="152">
        <f>BC86</f>
        <v/>
      </c>
      <c r="BA87" s="159">
        <f>IF(AZ87&gt;0.005,AZ87*Debts!D20/12,0)</f>
        <v/>
      </c>
      <c r="BB87" s="159" t="n">
        <v>0</v>
      </c>
      <c r="BC87" s="152">
        <f>MAX(0,AZ87+BA87-BB87)</f>
        <v/>
      </c>
      <c r="BD87" s="152">
        <f>BG86</f>
        <v/>
      </c>
      <c r="BE87" s="159">
        <f>IF(BD87&gt;0.005,BD87*Debts!D21/12,0)</f>
        <v/>
      </c>
      <c r="BF87" s="159" t="n">
        <v>0</v>
      </c>
      <c r="BG87" s="152">
        <f>MAX(0,BD87+BE87-BF87)</f>
        <v/>
      </c>
      <c r="BH87" s="152">
        <f>BK86</f>
        <v/>
      </c>
      <c r="BI87" s="159">
        <f>IF(BH87&gt;0.005,BH87*Debts!D22/12,0)</f>
        <v/>
      </c>
      <c r="BJ87" s="159" t="n">
        <v>0</v>
      </c>
      <c r="BK87" s="152">
        <f>MAX(0,BH87+BI87-BJ87)</f>
        <v/>
      </c>
      <c r="BL87" s="152">
        <f>BO86</f>
        <v/>
      </c>
      <c r="BM87" s="159">
        <f>IF(BL87&gt;0.005,BL87*Debts!D23/12,0)</f>
        <v/>
      </c>
      <c r="BN87" s="159" t="n">
        <v>0</v>
      </c>
      <c r="BO87" s="152">
        <f>MAX(0,BL87+BM87-BN87)</f>
        <v/>
      </c>
      <c r="BP87" s="152">
        <f>BS86</f>
        <v/>
      </c>
      <c r="BQ87" s="159">
        <f>IF(BP87&gt;0.005,BP87*Debts!D24/12,0)</f>
        <v/>
      </c>
      <c r="BR87" s="159" t="n">
        <v>0</v>
      </c>
      <c r="BS87" s="152">
        <f>MAX(0,BP87+BQ87-BR87)</f>
        <v/>
      </c>
      <c r="BT87" s="152">
        <f>BW86</f>
        <v/>
      </c>
      <c r="BU87" s="159">
        <f>IF(BT87&gt;0.005,BT87*Debts!D25/12,0)</f>
        <v/>
      </c>
      <c r="BV87" s="159" t="n">
        <v>0</v>
      </c>
      <c r="BW87" s="152">
        <f>MAX(0,BT87+BU87-BV87)</f>
        <v/>
      </c>
      <c r="BX87" s="152">
        <f>CA86</f>
        <v/>
      </c>
      <c r="BY87" s="159">
        <f>IF(BX87&gt;0.005,BX87*Debts!D26/12,0)</f>
        <v/>
      </c>
      <c r="BZ87" s="159" t="n">
        <v>0</v>
      </c>
      <c r="CA87" s="152">
        <f>MAX(0,BX87+BY87-BZ87)</f>
        <v/>
      </c>
      <c r="CB87" s="152">
        <f>CE86</f>
        <v/>
      </c>
      <c r="CC87" s="159">
        <f>IF(CB87&gt;0.005,CB87*Debts!D27/12,0)</f>
        <v/>
      </c>
      <c r="CD87" s="159" t="n">
        <v>0</v>
      </c>
      <c r="CE87" s="152">
        <f>MAX(0,CB87+CC87-CD87)</f>
        <v/>
      </c>
      <c r="CF87" s="152">
        <f>G87+K87+O87+S87+W87+AA87+AE87+AI87+AM87+AQ87+AU87+AY87+BC87+BG87+BK87+BO87+BS87+BW87+CA87+CE87</f>
        <v/>
      </c>
      <c r="CG87" s="159">
        <f>E87+I87+M87+Q87+U87+Y87+AC87+AG87+AK87+AO87+AS87+AW87+BA87+BE87+BI87+BM87+BQ87+BU87+BY87+CC87</f>
        <v/>
      </c>
      <c r="CH87" s="152">
        <f>CH86+CG87</f>
        <v/>
      </c>
      <c r="CI87" s="148" t="n"/>
      <c r="CJ87" s="148" t="n"/>
    </row>
    <row r="88" ht="15" customHeight="1" s="83">
      <c r="A88" s="148" t="n"/>
      <c r="B88" s="158" t="n">
        <v>84</v>
      </c>
      <c r="C88" s="152">
        <f>F88+J88+N88+R88+V88+Z88+AD88+AH88+AL88+AP88+AT88+AX88+BB88+BF88+BJ88+BN88+BR88+BV88+BZ88+CD88</f>
        <v/>
      </c>
      <c r="D88" s="152">
        <f>G87</f>
        <v/>
      </c>
      <c r="E88" s="159">
        <f>IF(D88&gt;0.005,D88*Debts!D8/12,0)</f>
        <v/>
      </c>
      <c r="F88" s="159" t="n">
        <v>0</v>
      </c>
      <c r="G88" s="152">
        <f>MAX(0,D88+E88-F88)</f>
        <v/>
      </c>
      <c r="H88" s="152">
        <f>K87</f>
        <v/>
      </c>
      <c r="I88" s="159">
        <f>IF(H88&gt;0.005,H88*Debts!D9/12,0)</f>
        <v/>
      </c>
      <c r="J88" s="159" t="n">
        <v>0</v>
      </c>
      <c r="K88" s="152">
        <f>MAX(0,H88+I88-J88)</f>
        <v/>
      </c>
      <c r="L88" s="152">
        <f>O87</f>
        <v/>
      </c>
      <c r="M88" s="159">
        <f>IF(L88&gt;0.005,L88*Debts!D10/12,0)</f>
        <v/>
      </c>
      <c r="N88" s="159" t="n">
        <v>0</v>
      </c>
      <c r="O88" s="152">
        <f>MAX(0,L88+M88-N88)</f>
        <v/>
      </c>
      <c r="P88" s="152">
        <f>S87</f>
        <v/>
      </c>
      <c r="Q88" s="159">
        <f>IF(P88&gt;0.005,P88*Debts!D11/12,0)</f>
        <v/>
      </c>
      <c r="R88" s="159" t="n">
        <v>0</v>
      </c>
      <c r="S88" s="152">
        <f>MAX(0,P88+Q88-R88)</f>
        <v/>
      </c>
      <c r="T88" s="152">
        <f>W87</f>
        <v/>
      </c>
      <c r="U88" s="159">
        <f>IF(T88&gt;0.005,T88*Debts!D12/12,0)</f>
        <v/>
      </c>
      <c r="V88" s="159" t="n">
        <v>0</v>
      </c>
      <c r="W88" s="152">
        <f>MAX(0,T88+U88-V88)</f>
        <v/>
      </c>
      <c r="X88" s="152">
        <f>AA87</f>
        <v/>
      </c>
      <c r="Y88" s="159">
        <f>IF(X88&gt;0.005,X88*Debts!D13/12,0)</f>
        <v/>
      </c>
      <c r="Z88" s="159" t="n">
        <v>0</v>
      </c>
      <c r="AA88" s="152">
        <f>MAX(0,X88+Y88-Z88)</f>
        <v/>
      </c>
      <c r="AB88" s="152">
        <f>AE87</f>
        <v/>
      </c>
      <c r="AC88" s="159">
        <f>IF(AB88&gt;0.005,AB88*Debts!D14/12,0)</f>
        <v/>
      </c>
      <c r="AD88" s="159" t="n">
        <v>0</v>
      </c>
      <c r="AE88" s="152">
        <f>MAX(0,AB88+AC88-AD88)</f>
        <v/>
      </c>
      <c r="AF88" s="152">
        <f>AI87</f>
        <v/>
      </c>
      <c r="AG88" s="159">
        <f>IF(AF88&gt;0.005,AF88*Debts!D15/12,0)</f>
        <v/>
      </c>
      <c r="AH88" s="159" t="n">
        <v>0</v>
      </c>
      <c r="AI88" s="152">
        <f>MAX(0,AF88+AG88-AH88)</f>
        <v/>
      </c>
      <c r="AJ88" s="152">
        <f>AM87</f>
        <v/>
      </c>
      <c r="AK88" s="159">
        <f>IF(AJ88&gt;0.005,AJ88*Debts!D16/12,0)</f>
        <v/>
      </c>
      <c r="AL88" s="159" t="n">
        <v>0</v>
      </c>
      <c r="AM88" s="152">
        <f>MAX(0,AJ88+AK88-AL88)</f>
        <v/>
      </c>
      <c r="AN88" s="152">
        <f>AQ87</f>
        <v/>
      </c>
      <c r="AO88" s="159">
        <f>IF(AN88&gt;0.005,AN88*Debts!D17/12,0)</f>
        <v/>
      </c>
      <c r="AP88" s="159" t="n">
        <v>0</v>
      </c>
      <c r="AQ88" s="152">
        <f>MAX(0,AN88+AO88-AP88)</f>
        <v/>
      </c>
      <c r="AR88" s="152">
        <f>AU87</f>
        <v/>
      </c>
      <c r="AS88" s="159">
        <f>IF(AR88&gt;0.005,AR88*Debts!D18/12,0)</f>
        <v/>
      </c>
      <c r="AT88" s="159" t="n">
        <v>0</v>
      </c>
      <c r="AU88" s="152">
        <f>MAX(0,AR88+AS88-AT88)</f>
        <v/>
      </c>
      <c r="AV88" s="152">
        <f>AY87</f>
        <v/>
      </c>
      <c r="AW88" s="159">
        <f>IF(AV88&gt;0.005,AV88*Debts!D19/12,0)</f>
        <v/>
      </c>
      <c r="AX88" s="159" t="n">
        <v>0</v>
      </c>
      <c r="AY88" s="152">
        <f>MAX(0,AV88+AW88-AX88)</f>
        <v/>
      </c>
      <c r="AZ88" s="152">
        <f>BC87</f>
        <v/>
      </c>
      <c r="BA88" s="159">
        <f>IF(AZ88&gt;0.005,AZ88*Debts!D20/12,0)</f>
        <v/>
      </c>
      <c r="BB88" s="159" t="n">
        <v>0</v>
      </c>
      <c r="BC88" s="152">
        <f>MAX(0,AZ88+BA88-BB88)</f>
        <v/>
      </c>
      <c r="BD88" s="152">
        <f>BG87</f>
        <v/>
      </c>
      <c r="BE88" s="159">
        <f>IF(BD88&gt;0.005,BD88*Debts!D21/12,0)</f>
        <v/>
      </c>
      <c r="BF88" s="159" t="n">
        <v>0</v>
      </c>
      <c r="BG88" s="152">
        <f>MAX(0,BD88+BE88-BF88)</f>
        <v/>
      </c>
      <c r="BH88" s="152">
        <f>BK87</f>
        <v/>
      </c>
      <c r="BI88" s="159">
        <f>IF(BH88&gt;0.005,BH88*Debts!D22/12,0)</f>
        <v/>
      </c>
      <c r="BJ88" s="159" t="n">
        <v>0</v>
      </c>
      <c r="BK88" s="152">
        <f>MAX(0,BH88+BI88-BJ88)</f>
        <v/>
      </c>
      <c r="BL88" s="152">
        <f>BO87</f>
        <v/>
      </c>
      <c r="BM88" s="159">
        <f>IF(BL88&gt;0.005,BL88*Debts!D23/12,0)</f>
        <v/>
      </c>
      <c r="BN88" s="159" t="n">
        <v>0</v>
      </c>
      <c r="BO88" s="152">
        <f>MAX(0,BL88+BM88-BN88)</f>
        <v/>
      </c>
      <c r="BP88" s="152">
        <f>BS87</f>
        <v/>
      </c>
      <c r="BQ88" s="159">
        <f>IF(BP88&gt;0.005,BP88*Debts!D24/12,0)</f>
        <v/>
      </c>
      <c r="BR88" s="159" t="n">
        <v>0</v>
      </c>
      <c r="BS88" s="152">
        <f>MAX(0,BP88+BQ88-BR88)</f>
        <v/>
      </c>
      <c r="BT88" s="152">
        <f>BW87</f>
        <v/>
      </c>
      <c r="BU88" s="159">
        <f>IF(BT88&gt;0.005,BT88*Debts!D25/12,0)</f>
        <v/>
      </c>
      <c r="BV88" s="159" t="n">
        <v>0</v>
      </c>
      <c r="BW88" s="152">
        <f>MAX(0,BT88+BU88-BV88)</f>
        <v/>
      </c>
      <c r="BX88" s="152">
        <f>CA87</f>
        <v/>
      </c>
      <c r="BY88" s="159">
        <f>IF(BX88&gt;0.005,BX88*Debts!D26/12,0)</f>
        <v/>
      </c>
      <c r="BZ88" s="159" t="n">
        <v>0</v>
      </c>
      <c r="CA88" s="152">
        <f>MAX(0,BX88+BY88-BZ88)</f>
        <v/>
      </c>
      <c r="CB88" s="152">
        <f>CE87</f>
        <v/>
      </c>
      <c r="CC88" s="159">
        <f>IF(CB88&gt;0.005,CB88*Debts!D27/12,0)</f>
        <v/>
      </c>
      <c r="CD88" s="159" t="n">
        <v>0</v>
      </c>
      <c r="CE88" s="152">
        <f>MAX(0,CB88+CC88-CD88)</f>
        <v/>
      </c>
      <c r="CF88" s="152">
        <f>G88+K88+O88+S88+W88+AA88+AE88+AI88+AM88+AQ88+AU88+AY88+BC88+BG88+BK88+BO88+BS88+BW88+CA88+CE88</f>
        <v/>
      </c>
      <c r="CG88" s="159">
        <f>E88+I88+M88+Q88+U88+Y88+AC88+AG88+AK88+AO88+AS88+AW88+BA88+BE88+BI88+BM88+BQ88+BU88+BY88+CC88</f>
        <v/>
      </c>
      <c r="CH88" s="152">
        <f>CH87+CG88</f>
        <v/>
      </c>
      <c r="CI88" s="148" t="n"/>
      <c r="CJ88" s="148" t="n"/>
    </row>
    <row r="89" ht="15" customHeight="1" s="83">
      <c r="A89" s="148" t="n"/>
      <c r="B89" s="158" t="n">
        <v>85</v>
      </c>
      <c r="C89" s="152">
        <f>F89+J89+N89+R89+V89+Z89+AD89+AH89+AL89+AP89+AT89+AX89+BB89+BF89+BJ89+BN89+BR89+BV89+BZ89+CD89</f>
        <v/>
      </c>
      <c r="D89" s="152">
        <f>G88</f>
        <v/>
      </c>
      <c r="E89" s="159">
        <f>IF(D89&gt;0.005,D89*Debts!D8/12,0)</f>
        <v/>
      </c>
      <c r="F89" s="159" t="n">
        <v>0</v>
      </c>
      <c r="G89" s="152">
        <f>MAX(0,D89+E89-F89)</f>
        <v/>
      </c>
      <c r="H89" s="152">
        <f>K88</f>
        <v/>
      </c>
      <c r="I89" s="159">
        <f>IF(H89&gt;0.005,H89*Debts!D9/12,0)</f>
        <v/>
      </c>
      <c r="J89" s="159" t="n">
        <v>0</v>
      </c>
      <c r="K89" s="152">
        <f>MAX(0,H89+I89-J89)</f>
        <v/>
      </c>
      <c r="L89" s="152">
        <f>O88</f>
        <v/>
      </c>
      <c r="M89" s="159">
        <f>IF(L89&gt;0.005,L89*Debts!D10/12,0)</f>
        <v/>
      </c>
      <c r="N89" s="159" t="n">
        <v>0</v>
      </c>
      <c r="O89" s="152">
        <f>MAX(0,L89+M89-N89)</f>
        <v/>
      </c>
      <c r="P89" s="152">
        <f>S88</f>
        <v/>
      </c>
      <c r="Q89" s="159">
        <f>IF(P89&gt;0.005,P89*Debts!D11/12,0)</f>
        <v/>
      </c>
      <c r="R89" s="159" t="n">
        <v>0</v>
      </c>
      <c r="S89" s="152">
        <f>MAX(0,P89+Q89-R89)</f>
        <v/>
      </c>
      <c r="T89" s="152">
        <f>W88</f>
        <v/>
      </c>
      <c r="U89" s="159">
        <f>IF(T89&gt;0.005,T89*Debts!D12/12,0)</f>
        <v/>
      </c>
      <c r="V89" s="159" t="n">
        <v>0</v>
      </c>
      <c r="W89" s="152">
        <f>MAX(0,T89+U89-V89)</f>
        <v/>
      </c>
      <c r="X89" s="152">
        <f>AA88</f>
        <v/>
      </c>
      <c r="Y89" s="159">
        <f>IF(X89&gt;0.005,X89*Debts!D13/12,0)</f>
        <v/>
      </c>
      <c r="Z89" s="159" t="n">
        <v>0</v>
      </c>
      <c r="AA89" s="152">
        <f>MAX(0,X89+Y89-Z89)</f>
        <v/>
      </c>
      <c r="AB89" s="152">
        <f>AE88</f>
        <v/>
      </c>
      <c r="AC89" s="159">
        <f>IF(AB89&gt;0.005,AB89*Debts!D14/12,0)</f>
        <v/>
      </c>
      <c r="AD89" s="159" t="n">
        <v>0</v>
      </c>
      <c r="AE89" s="152">
        <f>MAX(0,AB89+AC89-AD89)</f>
        <v/>
      </c>
      <c r="AF89" s="152">
        <f>AI88</f>
        <v/>
      </c>
      <c r="AG89" s="159">
        <f>IF(AF89&gt;0.005,AF89*Debts!D15/12,0)</f>
        <v/>
      </c>
      <c r="AH89" s="159" t="n">
        <v>0</v>
      </c>
      <c r="AI89" s="152">
        <f>MAX(0,AF89+AG89-AH89)</f>
        <v/>
      </c>
      <c r="AJ89" s="152">
        <f>AM88</f>
        <v/>
      </c>
      <c r="AK89" s="159">
        <f>IF(AJ89&gt;0.005,AJ89*Debts!D16/12,0)</f>
        <v/>
      </c>
      <c r="AL89" s="159" t="n">
        <v>0</v>
      </c>
      <c r="AM89" s="152">
        <f>MAX(0,AJ89+AK89-AL89)</f>
        <v/>
      </c>
      <c r="AN89" s="152">
        <f>AQ88</f>
        <v/>
      </c>
      <c r="AO89" s="159">
        <f>IF(AN89&gt;0.005,AN89*Debts!D17/12,0)</f>
        <v/>
      </c>
      <c r="AP89" s="159" t="n">
        <v>0</v>
      </c>
      <c r="AQ89" s="152">
        <f>MAX(0,AN89+AO89-AP89)</f>
        <v/>
      </c>
      <c r="AR89" s="152">
        <f>AU88</f>
        <v/>
      </c>
      <c r="AS89" s="159">
        <f>IF(AR89&gt;0.005,AR89*Debts!D18/12,0)</f>
        <v/>
      </c>
      <c r="AT89" s="159" t="n">
        <v>0</v>
      </c>
      <c r="AU89" s="152">
        <f>MAX(0,AR89+AS89-AT89)</f>
        <v/>
      </c>
      <c r="AV89" s="152">
        <f>AY88</f>
        <v/>
      </c>
      <c r="AW89" s="159">
        <f>IF(AV89&gt;0.005,AV89*Debts!D19/12,0)</f>
        <v/>
      </c>
      <c r="AX89" s="159" t="n">
        <v>0</v>
      </c>
      <c r="AY89" s="152">
        <f>MAX(0,AV89+AW89-AX89)</f>
        <v/>
      </c>
      <c r="AZ89" s="152">
        <f>BC88</f>
        <v/>
      </c>
      <c r="BA89" s="159">
        <f>IF(AZ89&gt;0.005,AZ89*Debts!D20/12,0)</f>
        <v/>
      </c>
      <c r="BB89" s="159" t="n">
        <v>0</v>
      </c>
      <c r="BC89" s="152">
        <f>MAX(0,AZ89+BA89-BB89)</f>
        <v/>
      </c>
      <c r="BD89" s="152">
        <f>BG88</f>
        <v/>
      </c>
      <c r="BE89" s="159">
        <f>IF(BD89&gt;0.005,BD89*Debts!D21/12,0)</f>
        <v/>
      </c>
      <c r="BF89" s="159" t="n">
        <v>0</v>
      </c>
      <c r="BG89" s="152">
        <f>MAX(0,BD89+BE89-BF89)</f>
        <v/>
      </c>
      <c r="BH89" s="152">
        <f>BK88</f>
        <v/>
      </c>
      <c r="BI89" s="159">
        <f>IF(BH89&gt;0.005,BH89*Debts!D22/12,0)</f>
        <v/>
      </c>
      <c r="BJ89" s="159" t="n">
        <v>0</v>
      </c>
      <c r="BK89" s="152">
        <f>MAX(0,BH89+BI89-BJ89)</f>
        <v/>
      </c>
      <c r="BL89" s="152">
        <f>BO88</f>
        <v/>
      </c>
      <c r="BM89" s="159">
        <f>IF(BL89&gt;0.005,BL89*Debts!D23/12,0)</f>
        <v/>
      </c>
      <c r="BN89" s="159" t="n">
        <v>0</v>
      </c>
      <c r="BO89" s="152">
        <f>MAX(0,BL89+BM89-BN89)</f>
        <v/>
      </c>
      <c r="BP89" s="152">
        <f>BS88</f>
        <v/>
      </c>
      <c r="BQ89" s="159">
        <f>IF(BP89&gt;0.005,BP89*Debts!D24/12,0)</f>
        <v/>
      </c>
      <c r="BR89" s="159" t="n">
        <v>0</v>
      </c>
      <c r="BS89" s="152">
        <f>MAX(0,BP89+BQ89-BR89)</f>
        <v/>
      </c>
      <c r="BT89" s="152">
        <f>BW88</f>
        <v/>
      </c>
      <c r="BU89" s="159">
        <f>IF(BT89&gt;0.005,BT89*Debts!D25/12,0)</f>
        <v/>
      </c>
      <c r="BV89" s="159" t="n">
        <v>0</v>
      </c>
      <c r="BW89" s="152">
        <f>MAX(0,BT89+BU89-BV89)</f>
        <v/>
      </c>
      <c r="BX89" s="152">
        <f>CA88</f>
        <v/>
      </c>
      <c r="BY89" s="159">
        <f>IF(BX89&gt;0.005,BX89*Debts!D26/12,0)</f>
        <v/>
      </c>
      <c r="BZ89" s="159" t="n">
        <v>0</v>
      </c>
      <c r="CA89" s="152">
        <f>MAX(0,BX89+BY89-BZ89)</f>
        <v/>
      </c>
      <c r="CB89" s="152">
        <f>CE88</f>
        <v/>
      </c>
      <c r="CC89" s="159">
        <f>IF(CB89&gt;0.005,CB89*Debts!D27/12,0)</f>
        <v/>
      </c>
      <c r="CD89" s="159" t="n">
        <v>0</v>
      </c>
      <c r="CE89" s="152">
        <f>MAX(0,CB89+CC89-CD89)</f>
        <v/>
      </c>
      <c r="CF89" s="152">
        <f>G89+K89+O89+S89+W89+AA89+AE89+AI89+AM89+AQ89+AU89+AY89+BC89+BG89+BK89+BO89+BS89+BW89+CA89+CE89</f>
        <v/>
      </c>
      <c r="CG89" s="159">
        <f>E89+I89+M89+Q89+U89+Y89+AC89+AG89+AK89+AO89+AS89+AW89+BA89+BE89+BI89+BM89+BQ89+BU89+BY89+CC89</f>
        <v/>
      </c>
      <c r="CH89" s="152">
        <f>CH88+CG89</f>
        <v/>
      </c>
      <c r="CI89" s="148" t="n"/>
      <c r="CJ89" s="148" t="n"/>
    </row>
    <row r="90" ht="15" customHeight="1" s="83">
      <c r="A90" s="148" t="n"/>
      <c r="B90" s="158" t="n">
        <v>86</v>
      </c>
      <c r="C90" s="152">
        <f>F90+J90+N90+R90+V90+Z90+AD90+AH90+AL90+AP90+AT90+AX90+BB90+BF90+BJ90+BN90+BR90+BV90+BZ90+CD90</f>
        <v/>
      </c>
      <c r="D90" s="152">
        <f>G89</f>
        <v/>
      </c>
      <c r="E90" s="159">
        <f>IF(D90&gt;0.005,D90*Debts!D8/12,0)</f>
        <v/>
      </c>
      <c r="F90" s="159" t="n">
        <v>0</v>
      </c>
      <c r="G90" s="152">
        <f>MAX(0,D90+E90-F90)</f>
        <v/>
      </c>
      <c r="H90" s="152">
        <f>K89</f>
        <v/>
      </c>
      <c r="I90" s="159">
        <f>IF(H90&gt;0.005,H90*Debts!D9/12,0)</f>
        <v/>
      </c>
      <c r="J90" s="159" t="n">
        <v>0</v>
      </c>
      <c r="K90" s="152">
        <f>MAX(0,H90+I90-J90)</f>
        <v/>
      </c>
      <c r="L90" s="152">
        <f>O89</f>
        <v/>
      </c>
      <c r="M90" s="159">
        <f>IF(L90&gt;0.005,L90*Debts!D10/12,0)</f>
        <v/>
      </c>
      <c r="N90" s="159" t="n">
        <v>0</v>
      </c>
      <c r="O90" s="152">
        <f>MAX(0,L90+M90-N90)</f>
        <v/>
      </c>
      <c r="P90" s="152">
        <f>S89</f>
        <v/>
      </c>
      <c r="Q90" s="159">
        <f>IF(P90&gt;0.005,P90*Debts!D11/12,0)</f>
        <v/>
      </c>
      <c r="R90" s="159" t="n">
        <v>0</v>
      </c>
      <c r="S90" s="152">
        <f>MAX(0,P90+Q90-R90)</f>
        <v/>
      </c>
      <c r="T90" s="152">
        <f>W89</f>
        <v/>
      </c>
      <c r="U90" s="159">
        <f>IF(T90&gt;0.005,T90*Debts!D12/12,0)</f>
        <v/>
      </c>
      <c r="V90" s="159" t="n">
        <v>0</v>
      </c>
      <c r="W90" s="152">
        <f>MAX(0,T90+U90-V90)</f>
        <v/>
      </c>
      <c r="X90" s="152">
        <f>AA89</f>
        <v/>
      </c>
      <c r="Y90" s="159">
        <f>IF(X90&gt;0.005,X90*Debts!D13/12,0)</f>
        <v/>
      </c>
      <c r="Z90" s="159" t="n">
        <v>0</v>
      </c>
      <c r="AA90" s="152">
        <f>MAX(0,X90+Y90-Z90)</f>
        <v/>
      </c>
      <c r="AB90" s="152">
        <f>AE89</f>
        <v/>
      </c>
      <c r="AC90" s="159">
        <f>IF(AB90&gt;0.005,AB90*Debts!D14/12,0)</f>
        <v/>
      </c>
      <c r="AD90" s="159" t="n">
        <v>0</v>
      </c>
      <c r="AE90" s="152">
        <f>MAX(0,AB90+AC90-AD90)</f>
        <v/>
      </c>
      <c r="AF90" s="152">
        <f>AI89</f>
        <v/>
      </c>
      <c r="AG90" s="159">
        <f>IF(AF90&gt;0.005,AF90*Debts!D15/12,0)</f>
        <v/>
      </c>
      <c r="AH90" s="159" t="n">
        <v>0</v>
      </c>
      <c r="AI90" s="152">
        <f>MAX(0,AF90+AG90-AH90)</f>
        <v/>
      </c>
      <c r="AJ90" s="152">
        <f>AM89</f>
        <v/>
      </c>
      <c r="AK90" s="159">
        <f>IF(AJ90&gt;0.005,AJ90*Debts!D16/12,0)</f>
        <v/>
      </c>
      <c r="AL90" s="159" t="n">
        <v>0</v>
      </c>
      <c r="AM90" s="152">
        <f>MAX(0,AJ90+AK90-AL90)</f>
        <v/>
      </c>
      <c r="AN90" s="152">
        <f>AQ89</f>
        <v/>
      </c>
      <c r="AO90" s="159">
        <f>IF(AN90&gt;0.005,AN90*Debts!D17/12,0)</f>
        <v/>
      </c>
      <c r="AP90" s="159" t="n">
        <v>0</v>
      </c>
      <c r="AQ90" s="152">
        <f>MAX(0,AN90+AO90-AP90)</f>
        <v/>
      </c>
      <c r="AR90" s="152">
        <f>AU89</f>
        <v/>
      </c>
      <c r="AS90" s="159">
        <f>IF(AR90&gt;0.005,AR90*Debts!D18/12,0)</f>
        <v/>
      </c>
      <c r="AT90" s="159" t="n">
        <v>0</v>
      </c>
      <c r="AU90" s="152">
        <f>MAX(0,AR90+AS90-AT90)</f>
        <v/>
      </c>
      <c r="AV90" s="152">
        <f>AY89</f>
        <v/>
      </c>
      <c r="AW90" s="159">
        <f>IF(AV90&gt;0.005,AV90*Debts!D19/12,0)</f>
        <v/>
      </c>
      <c r="AX90" s="159" t="n">
        <v>0</v>
      </c>
      <c r="AY90" s="152">
        <f>MAX(0,AV90+AW90-AX90)</f>
        <v/>
      </c>
      <c r="AZ90" s="152">
        <f>BC89</f>
        <v/>
      </c>
      <c r="BA90" s="159">
        <f>IF(AZ90&gt;0.005,AZ90*Debts!D20/12,0)</f>
        <v/>
      </c>
      <c r="BB90" s="159" t="n">
        <v>0</v>
      </c>
      <c r="BC90" s="152">
        <f>MAX(0,AZ90+BA90-BB90)</f>
        <v/>
      </c>
      <c r="BD90" s="152">
        <f>BG89</f>
        <v/>
      </c>
      <c r="BE90" s="159">
        <f>IF(BD90&gt;0.005,BD90*Debts!D21/12,0)</f>
        <v/>
      </c>
      <c r="BF90" s="159" t="n">
        <v>0</v>
      </c>
      <c r="BG90" s="152">
        <f>MAX(0,BD90+BE90-BF90)</f>
        <v/>
      </c>
      <c r="BH90" s="152">
        <f>BK89</f>
        <v/>
      </c>
      <c r="BI90" s="159">
        <f>IF(BH90&gt;0.005,BH90*Debts!D22/12,0)</f>
        <v/>
      </c>
      <c r="BJ90" s="159" t="n">
        <v>0</v>
      </c>
      <c r="BK90" s="152">
        <f>MAX(0,BH90+BI90-BJ90)</f>
        <v/>
      </c>
      <c r="BL90" s="152">
        <f>BO89</f>
        <v/>
      </c>
      <c r="BM90" s="159">
        <f>IF(BL90&gt;0.005,BL90*Debts!D23/12,0)</f>
        <v/>
      </c>
      <c r="BN90" s="159" t="n">
        <v>0</v>
      </c>
      <c r="BO90" s="152">
        <f>MAX(0,BL90+BM90-BN90)</f>
        <v/>
      </c>
      <c r="BP90" s="152">
        <f>BS89</f>
        <v/>
      </c>
      <c r="BQ90" s="159">
        <f>IF(BP90&gt;0.005,BP90*Debts!D24/12,0)</f>
        <v/>
      </c>
      <c r="BR90" s="159" t="n">
        <v>0</v>
      </c>
      <c r="BS90" s="152">
        <f>MAX(0,BP90+BQ90-BR90)</f>
        <v/>
      </c>
      <c r="BT90" s="152">
        <f>BW89</f>
        <v/>
      </c>
      <c r="BU90" s="159">
        <f>IF(BT90&gt;0.005,BT90*Debts!D25/12,0)</f>
        <v/>
      </c>
      <c r="BV90" s="159" t="n">
        <v>0</v>
      </c>
      <c r="BW90" s="152">
        <f>MAX(0,BT90+BU90-BV90)</f>
        <v/>
      </c>
      <c r="BX90" s="152">
        <f>CA89</f>
        <v/>
      </c>
      <c r="BY90" s="159">
        <f>IF(BX90&gt;0.005,BX90*Debts!D26/12,0)</f>
        <v/>
      </c>
      <c r="BZ90" s="159" t="n">
        <v>0</v>
      </c>
      <c r="CA90" s="152">
        <f>MAX(0,BX90+BY90-BZ90)</f>
        <v/>
      </c>
      <c r="CB90" s="152">
        <f>CE89</f>
        <v/>
      </c>
      <c r="CC90" s="159">
        <f>IF(CB90&gt;0.005,CB90*Debts!D27/12,0)</f>
        <v/>
      </c>
      <c r="CD90" s="159" t="n">
        <v>0</v>
      </c>
      <c r="CE90" s="152">
        <f>MAX(0,CB90+CC90-CD90)</f>
        <v/>
      </c>
      <c r="CF90" s="152">
        <f>G90+K90+O90+S90+W90+AA90+AE90+AI90+AM90+AQ90+AU90+AY90+BC90+BG90+BK90+BO90+BS90+BW90+CA90+CE90</f>
        <v/>
      </c>
      <c r="CG90" s="159">
        <f>E90+I90+M90+Q90+U90+Y90+AC90+AG90+AK90+AO90+AS90+AW90+BA90+BE90+BI90+BM90+BQ90+BU90+BY90+CC90</f>
        <v/>
      </c>
      <c r="CH90" s="152">
        <f>CH89+CG90</f>
        <v/>
      </c>
      <c r="CI90" s="148" t="n"/>
      <c r="CJ90" s="148" t="n"/>
    </row>
    <row r="91" ht="15" customHeight="1" s="83">
      <c r="A91" s="148" t="n"/>
      <c r="B91" s="158" t="n">
        <v>87</v>
      </c>
      <c r="C91" s="152">
        <f>F91+J91+N91+R91+V91+Z91+AD91+AH91+AL91+AP91+AT91+AX91+BB91+BF91+BJ91+BN91+BR91+BV91+BZ91+CD91</f>
        <v/>
      </c>
      <c r="D91" s="152">
        <f>G90</f>
        <v/>
      </c>
      <c r="E91" s="159">
        <f>IF(D91&gt;0.005,D91*Debts!D8/12,0)</f>
        <v/>
      </c>
      <c r="F91" s="159" t="n">
        <v>0</v>
      </c>
      <c r="G91" s="152">
        <f>MAX(0,D91+E91-F91)</f>
        <v/>
      </c>
      <c r="H91" s="152">
        <f>K90</f>
        <v/>
      </c>
      <c r="I91" s="159">
        <f>IF(H91&gt;0.005,H91*Debts!D9/12,0)</f>
        <v/>
      </c>
      <c r="J91" s="159" t="n">
        <v>0</v>
      </c>
      <c r="K91" s="152">
        <f>MAX(0,H91+I91-J91)</f>
        <v/>
      </c>
      <c r="L91" s="152">
        <f>O90</f>
        <v/>
      </c>
      <c r="M91" s="159">
        <f>IF(L91&gt;0.005,L91*Debts!D10/12,0)</f>
        <v/>
      </c>
      <c r="N91" s="159" t="n">
        <v>0</v>
      </c>
      <c r="O91" s="152">
        <f>MAX(0,L91+M91-N91)</f>
        <v/>
      </c>
      <c r="P91" s="152">
        <f>S90</f>
        <v/>
      </c>
      <c r="Q91" s="159">
        <f>IF(P91&gt;0.005,P91*Debts!D11/12,0)</f>
        <v/>
      </c>
      <c r="R91" s="159" t="n">
        <v>0</v>
      </c>
      <c r="S91" s="152">
        <f>MAX(0,P91+Q91-R91)</f>
        <v/>
      </c>
      <c r="T91" s="152">
        <f>W90</f>
        <v/>
      </c>
      <c r="U91" s="159">
        <f>IF(T91&gt;0.005,T91*Debts!D12/12,0)</f>
        <v/>
      </c>
      <c r="V91" s="159" t="n">
        <v>0</v>
      </c>
      <c r="W91" s="152">
        <f>MAX(0,T91+U91-V91)</f>
        <v/>
      </c>
      <c r="X91" s="152">
        <f>AA90</f>
        <v/>
      </c>
      <c r="Y91" s="159">
        <f>IF(X91&gt;0.005,X91*Debts!D13/12,0)</f>
        <v/>
      </c>
      <c r="Z91" s="159" t="n">
        <v>0</v>
      </c>
      <c r="AA91" s="152">
        <f>MAX(0,X91+Y91-Z91)</f>
        <v/>
      </c>
      <c r="AB91" s="152">
        <f>AE90</f>
        <v/>
      </c>
      <c r="AC91" s="159">
        <f>IF(AB91&gt;0.005,AB91*Debts!D14/12,0)</f>
        <v/>
      </c>
      <c r="AD91" s="159" t="n">
        <v>0</v>
      </c>
      <c r="AE91" s="152">
        <f>MAX(0,AB91+AC91-AD91)</f>
        <v/>
      </c>
      <c r="AF91" s="152">
        <f>AI90</f>
        <v/>
      </c>
      <c r="AG91" s="159">
        <f>IF(AF91&gt;0.005,AF91*Debts!D15/12,0)</f>
        <v/>
      </c>
      <c r="AH91" s="159" t="n">
        <v>0</v>
      </c>
      <c r="AI91" s="152">
        <f>MAX(0,AF91+AG91-AH91)</f>
        <v/>
      </c>
      <c r="AJ91" s="152">
        <f>AM90</f>
        <v/>
      </c>
      <c r="AK91" s="159">
        <f>IF(AJ91&gt;0.005,AJ91*Debts!D16/12,0)</f>
        <v/>
      </c>
      <c r="AL91" s="159" t="n">
        <v>0</v>
      </c>
      <c r="AM91" s="152">
        <f>MAX(0,AJ91+AK91-AL91)</f>
        <v/>
      </c>
      <c r="AN91" s="152">
        <f>AQ90</f>
        <v/>
      </c>
      <c r="AO91" s="159">
        <f>IF(AN91&gt;0.005,AN91*Debts!D17/12,0)</f>
        <v/>
      </c>
      <c r="AP91" s="159" t="n">
        <v>0</v>
      </c>
      <c r="AQ91" s="152">
        <f>MAX(0,AN91+AO91-AP91)</f>
        <v/>
      </c>
      <c r="AR91" s="152">
        <f>AU90</f>
        <v/>
      </c>
      <c r="AS91" s="159">
        <f>IF(AR91&gt;0.005,AR91*Debts!D18/12,0)</f>
        <v/>
      </c>
      <c r="AT91" s="159" t="n">
        <v>0</v>
      </c>
      <c r="AU91" s="152">
        <f>MAX(0,AR91+AS91-AT91)</f>
        <v/>
      </c>
      <c r="AV91" s="152">
        <f>AY90</f>
        <v/>
      </c>
      <c r="AW91" s="159">
        <f>IF(AV91&gt;0.005,AV91*Debts!D19/12,0)</f>
        <v/>
      </c>
      <c r="AX91" s="159" t="n">
        <v>0</v>
      </c>
      <c r="AY91" s="152">
        <f>MAX(0,AV91+AW91-AX91)</f>
        <v/>
      </c>
      <c r="AZ91" s="152">
        <f>BC90</f>
        <v/>
      </c>
      <c r="BA91" s="159">
        <f>IF(AZ91&gt;0.005,AZ91*Debts!D20/12,0)</f>
        <v/>
      </c>
      <c r="BB91" s="159" t="n">
        <v>0</v>
      </c>
      <c r="BC91" s="152">
        <f>MAX(0,AZ91+BA91-BB91)</f>
        <v/>
      </c>
      <c r="BD91" s="152">
        <f>BG90</f>
        <v/>
      </c>
      <c r="BE91" s="159">
        <f>IF(BD91&gt;0.005,BD91*Debts!D21/12,0)</f>
        <v/>
      </c>
      <c r="BF91" s="159" t="n">
        <v>0</v>
      </c>
      <c r="BG91" s="152">
        <f>MAX(0,BD91+BE91-BF91)</f>
        <v/>
      </c>
      <c r="BH91" s="152">
        <f>BK90</f>
        <v/>
      </c>
      <c r="BI91" s="159">
        <f>IF(BH91&gt;0.005,BH91*Debts!D22/12,0)</f>
        <v/>
      </c>
      <c r="BJ91" s="159" t="n">
        <v>0</v>
      </c>
      <c r="BK91" s="152">
        <f>MAX(0,BH91+BI91-BJ91)</f>
        <v/>
      </c>
      <c r="BL91" s="152">
        <f>BO90</f>
        <v/>
      </c>
      <c r="BM91" s="159">
        <f>IF(BL91&gt;0.005,BL91*Debts!D23/12,0)</f>
        <v/>
      </c>
      <c r="BN91" s="159" t="n">
        <v>0</v>
      </c>
      <c r="BO91" s="152">
        <f>MAX(0,BL91+BM91-BN91)</f>
        <v/>
      </c>
      <c r="BP91" s="152">
        <f>BS90</f>
        <v/>
      </c>
      <c r="BQ91" s="159">
        <f>IF(BP91&gt;0.005,BP91*Debts!D24/12,0)</f>
        <v/>
      </c>
      <c r="BR91" s="159" t="n">
        <v>0</v>
      </c>
      <c r="BS91" s="152">
        <f>MAX(0,BP91+BQ91-BR91)</f>
        <v/>
      </c>
      <c r="BT91" s="152">
        <f>BW90</f>
        <v/>
      </c>
      <c r="BU91" s="159">
        <f>IF(BT91&gt;0.005,BT91*Debts!D25/12,0)</f>
        <v/>
      </c>
      <c r="BV91" s="159" t="n">
        <v>0</v>
      </c>
      <c r="BW91" s="152">
        <f>MAX(0,BT91+BU91-BV91)</f>
        <v/>
      </c>
      <c r="BX91" s="152">
        <f>CA90</f>
        <v/>
      </c>
      <c r="BY91" s="159">
        <f>IF(BX91&gt;0.005,BX91*Debts!D26/12,0)</f>
        <v/>
      </c>
      <c r="BZ91" s="159" t="n">
        <v>0</v>
      </c>
      <c r="CA91" s="152">
        <f>MAX(0,BX91+BY91-BZ91)</f>
        <v/>
      </c>
      <c r="CB91" s="152">
        <f>CE90</f>
        <v/>
      </c>
      <c r="CC91" s="159">
        <f>IF(CB91&gt;0.005,CB91*Debts!D27/12,0)</f>
        <v/>
      </c>
      <c r="CD91" s="159" t="n">
        <v>0</v>
      </c>
      <c r="CE91" s="152">
        <f>MAX(0,CB91+CC91-CD91)</f>
        <v/>
      </c>
      <c r="CF91" s="152">
        <f>G91+K91+O91+S91+W91+AA91+AE91+AI91+AM91+AQ91+AU91+AY91+BC91+BG91+BK91+BO91+BS91+BW91+CA91+CE91</f>
        <v/>
      </c>
      <c r="CG91" s="159">
        <f>E91+I91+M91+Q91+U91+Y91+AC91+AG91+AK91+AO91+AS91+AW91+BA91+BE91+BI91+BM91+BQ91+BU91+BY91+CC91</f>
        <v/>
      </c>
      <c r="CH91" s="152">
        <f>CH90+CG91</f>
        <v/>
      </c>
      <c r="CI91" s="148" t="n"/>
      <c r="CJ91" s="148" t="n"/>
    </row>
    <row r="92" ht="15" customHeight="1" s="83">
      <c r="A92" s="148" t="n"/>
      <c r="B92" s="158" t="n">
        <v>88</v>
      </c>
      <c r="C92" s="152">
        <f>F92+J92+N92+R92+V92+Z92+AD92+AH92+AL92+AP92+AT92+AX92+BB92+BF92+BJ92+BN92+BR92+BV92+BZ92+CD92</f>
        <v/>
      </c>
      <c r="D92" s="152">
        <f>G91</f>
        <v/>
      </c>
      <c r="E92" s="159">
        <f>IF(D92&gt;0.005,D92*Debts!D8/12,0)</f>
        <v/>
      </c>
      <c r="F92" s="159" t="n">
        <v>0</v>
      </c>
      <c r="G92" s="152">
        <f>MAX(0,D92+E92-F92)</f>
        <v/>
      </c>
      <c r="H92" s="152">
        <f>K91</f>
        <v/>
      </c>
      <c r="I92" s="159">
        <f>IF(H92&gt;0.005,H92*Debts!D9/12,0)</f>
        <v/>
      </c>
      <c r="J92" s="159" t="n">
        <v>0</v>
      </c>
      <c r="K92" s="152">
        <f>MAX(0,H92+I92-J92)</f>
        <v/>
      </c>
      <c r="L92" s="152">
        <f>O91</f>
        <v/>
      </c>
      <c r="M92" s="159">
        <f>IF(L92&gt;0.005,L92*Debts!D10/12,0)</f>
        <v/>
      </c>
      <c r="N92" s="159" t="n">
        <v>0</v>
      </c>
      <c r="O92" s="152">
        <f>MAX(0,L92+M92-N92)</f>
        <v/>
      </c>
      <c r="P92" s="152">
        <f>S91</f>
        <v/>
      </c>
      <c r="Q92" s="159">
        <f>IF(P92&gt;0.005,P92*Debts!D11/12,0)</f>
        <v/>
      </c>
      <c r="R92" s="159" t="n">
        <v>0</v>
      </c>
      <c r="S92" s="152">
        <f>MAX(0,P92+Q92-R92)</f>
        <v/>
      </c>
      <c r="T92" s="152">
        <f>W91</f>
        <v/>
      </c>
      <c r="U92" s="159">
        <f>IF(T92&gt;0.005,T92*Debts!D12/12,0)</f>
        <v/>
      </c>
      <c r="V92" s="159" t="n">
        <v>0</v>
      </c>
      <c r="W92" s="152">
        <f>MAX(0,T92+U92-V92)</f>
        <v/>
      </c>
      <c r="X92" s="152">
        <f>AA91</f>
        <v/>
      </c>
      <c r="Y92" s="159">
        <f>IF(X92&gt;0.005,X92*Debts!D13/12,0)</f>
        <v/>
      </c>
      <c r="Z92" s="159" t="n">
        <v>0</v>
      </c>
      <c r="AA92" s="152">
        <f>MAX(0,X92+Y92-Z92)</f>
        <v/>
      </c>
      <c r="AB92" s="152">
        <f>AE91</f>
        <v/>
      </c>
      <c r="AC92" s="159">
        <f>IF(AB92&gt;0.005,AB92*Debts!D14/12,0)</f>
        <v/>
      </c>
      <c r="AD92" s="159" t="n">
        <v>0</v>
      </c>
      <c r="AE92" s="152">
        <f>MAX(0,AB92+AC92-AD92)</f>
        <v/>
      </c>
      <c r="AF92" s="152">
        <f>AI91</f>
        <v/>
      </c>
      <c r="AG92" s="159">
        <f>IF(AF92&gt;0.005,AF92*Debts!D15/12,0)</f>
        <v/>
      </c>
      <c r="AH92" s="159" t="n">
        <v>0</v>
      </c>
      <c r="AI92" s="152">
        <f>MAX(0,AF92+AG92-AH92)</f>
        <v/>
      </c>
      <c r="AJ92" s="152">
        <f>AM91</f>
        <v/>
      </c>
      <c r="AK92" s="159">
        <f>IF(AJ92&gt;0.005,AJ92*Debts!D16/12,0)</f>
        <v/>
      </c>
      <c r="AL92" s="159" t="n">
        <v>0</v>
      </c>
      <c r="AM92" s="152">
        <f>MAX(0,AJ92+AK92-AL92)</f>
        <v/>
      </c>
      <c r="AN92" s="152">
        <f>AQ91</f>
        <v/>
      </c>
      <c r="AO92" s="159">
        <f>IF(AN92&gt;0.005,AN92*Debts!D17/12,0)</f>
        <v/>
      </c>
      <c r="AP92" s="159" t="n">
        <v>0</v>
      </c>
      <c r="AQ92" s="152">
        <f>MAX(0,AN92+AO92-AP92)</f>
        <v/>
      </c>
      <c r="AR92" s="152">
        <f>AU91</f>
        <v/>
      </c>
      <c r="AS92" s="159">
        <f>IF(AR92&gt;0.005,AR92*Debts!D18/12,0)</f>
        <v/>
      </c>
      <c r="AT92" s="159" t="n">
        <v>0</v>
      </c>
      <c r="AU92" s="152">
        <f>MAX(0,AR92+AS92-AT92)</f>
        <v/>
      </c>
      <c r="AV92" s="152">
        <f>AY91</f>
        <v/>
      </c>
      <c r="AW92" s="159">
        <f>IF(AV92&gt;0.005,AV92*Debts!D19/12,0)</f>
        <v/>
      </c>
      <c r="AX92" s="159" t="n">
        <v>0</v>
      </c>
      <c r="AY92" s="152">
        <f>MAX(0,AV92+AW92-AX92)</f>
        <v/>
      </c>
      <c r="AZ92" s="152">
        <f>BC91</f>
        <v/>
      </c>
      <c r="BA92" s="159">
        <f>IF(AZ92&gt;0.005,AZ92*Debts!D20/12,0)</f>
        <v/>
      </c>
      <c r="BB92" s="159" t="n">
        <v>0</v>
      </c>
      <c r="BC92" s="152">
        <f>MAX(0,AZ92+BA92-BB92)</f>
        <v/>
      </c>
      <c r="BD92" s="152">
        <f>BG91</f>
        <v/>
      </c>
      <c r="BE92" s="159">
        <f>IF(BD92&gt;0.005,BD92*Debts!D21/12,0)</f>
        <v/>
      </c>
      <c r="BF92" s="159" t="n">
        <v>0</v>
      </c>
      <c r="BG92" s="152">
        <f>MAX(0,BD92+BE92-BF92)</f>
        <v/>
      </c>
      <c r="BH92" s="152">
        <f>BK91</f>
        <v/>
      </c>
      <c r="BI92" s="159">
        <f>IF(BH92&gt;0.005,BH92*Debts!D22/12,0)</f>
        <v/>
      </c>
      <c r="BJ92" s="159" t="n">
        <v>0</v>
      </c>
      <c r="BK92" s="152">
        <f>MAX(0,BH92+BI92-BJ92)</f>
        <v/>
      </c>
      <c r="BL92" s="152">
        <f>BO91</f>
        <v/>
      </c>
      <c r="BM92" s="159">
        <f>IF(BL92&gt;0.005,BL92*Debts!D23/12,0)</f>
        <v/>
      </c>
      <c r="BN92" s="159" t="n">
        <v>0</v>
      </c>
      <c r="BO92" s="152">
        <f>MAX(0,BL92+BM92-BN92)</f>
        <v/>
      </c>
      <c r="BP92" s="152">
        <f>BS91</f>
        <v/>
      </c>
      <c r="BQ92" s="159">
        <f>IF(BP92&gt;0.005,BP92*Debts!D24/12,0)</f>
        <v/>
      </c>
      <c r="BR92" s="159" t="n">
        <v>0</v>
      </c>
      <c r="BS92" s="152">
        <f>MAX(0,BP92+BQ92-BR92)</f>
        <v/>
      </c>
      <c r="BT92" s="152">
        <f>BW91</f>
        <v/>
      </c>
      <c r="BU92" s="159">
        <f>IF(BT92&gt;0.005,BT92*Debts!D25/12,0)</f>
        <v/>
      </c>
      <c r="BV92" s="159" t="n">
        <v>0</v>
      </c>
      <c r="BW92" s="152">
        <f>MAX(0,BT92+BU92-BV92)</f>
        <v/>
      </c>
      <c r="BX92" s="152">
        <f>CA91</f>
        <v/>
      </c>
      <c r="BY92" s="159">
        <f>IF(BX92&gt;0.005,BX92*Debts!D26/12,0)</f>
        <v/>
      </c>
      <c r="BZ92" s="159" t="n">
        <v>0</v>
      </c>
      <c r="CA92" s="152">
        <f>MAX(0,BX92+BY92-BZ92)</f>
        <v/>
      </c>
      <c r="CB92" s="152">
        <f>CE91</f>
        <v/>
      </c>
      <c r="CC92" s="159">
        <f>IF(CB92&gt;0.005,CB92*Debts!D27/12,0)</f>
        <v/>
      </c>
      <c r="CD92" s="159" t="n">
        <v>0</v>
      </c>
      <c r="CE92" s="152">
        <f>MAX(0,CB92+CC92-CD92)</f>
        <v/>
      </c>
      <c r="CF92" s="152">
        <f>G92+K92+O92+S92+W92+AA92+AE92+AI92+AM92+AQ92+AU92+AY92+BC92+BG92+BK92+BO92+BS92+BW92+CA92+CE92</f>
        <v/>
      </c>
      <c r="CG92" s="159">
        <f>E92+I92+M92+Q92+U92+Y92+AC92+AG92+AK92+AO92+AS92+AW92+BA92+BE92+BI92+BM92+BQ92+BU92+BY92+CC92</f>
        <v/>
      </c>
      <c r="CH92" s="152">
        <f>CH91+CG92</f>
        <v/>
      </c>
      <c r="CI92" s="148" t="n"/>
      <c r="CJ92" s="148" t="n"/>
    </row>
    <row r="93" ht="15" customHeight="1" s="83">
      <c r="A93" s="148" t="n"/>
      <c r="B93" s="158" t="n">
        <v>89</v>
      </c>
      <c r="C93" s="152">
        <f>F93+J93+N93+R93+V93+Z93+AD93+AH93+AL93+AP93+AT93+AX93+BB93+BF93+BJ93+BN93+BR93+BV93+BZ93+CD93</f>
        <v/>
      </c>
      <c r="D93" s="152">
        <f>G92</f>
        <v/>
      </c>
      <c r="E93" s="159">
        <f>IF(D93&gt;0.005,D93*Debts!D8/12,0)</f>
        <v/>
      </c>
      <c r="F93" s="159" t="n">
        <v>0</v>
      </c>
      <c r="G93" s="152">
        <f>MAX(0,D93+E93-F93)</f>
        <v/>
      </c>
      <c r="H93" s="152">
        <f>K92</f>
        <v/>
      </c>
      <c r="I93" s="159">
        <f>IF(H93&gt;0.005,H93*Debts!D9/12,0)</f>
        <v/>
      </c>
      <c r="J93" s="159" t="n">
        <v>0</v>
      </c>
      <c r="K93" s="152">
        <f>MAX(0,H93+I93-J93)</f>
        <v/>
      </c>
      <c r="L93" s="152">
        <f>O92</f>
        <v/>
      </c>
      <c r="M93" s="159">
        <f>IF(L93&gt;0.005,L93*Debts!D10/12,0)</f>
        <v/>
      </c>
      <c r="N93" s="159" t="n">
        <v>0</v>
      </c>
      <c r="O93" s="152">
        <f>MAX(0,L93+M93-N93)</f>
        <v/>
      </c>
      <c r="P93" s="152">
        <f>S92</f>
        <v/>
      </c>
      <c r="Q93" s="159">
        <f>IF(P93&gt;0.005,P93*Debts!D11/12,0)</f>
        <v/>
      </c>
      <c r="R93" s="159" t="n">
        <v>0</v>
      </c>
      <c r="S93" s="152">
        <f>MAX(0,P93+Q93-R93)</f>
        <v/>
      </c>
      <c r="T93" s="152">
        <f>W92</f>
        <v/>
      </c>
      <c r="U93" s="159">
        <f>IF(T93&gt;0.005,T93*Debts!D12/12,0)</f>
        <v/>
      </c>
      <c r="V93" s="159" t="n">
        <v>0</v>
      </c>
      <c r="W93" s="152">
        <f>MAX(0,T93+U93-V93)</f>
        <v/>
      </c>
      <c r="X93" s="152">
        <f>AA92</f>
        <v/>
      </c>
      <c r="Y93" s="159">
        <f>IF(X93&gt;0.005,X93*Debts!D13/12,0)</f>
        <v/>
      </c>
      <c r="Z93" s="159" t="n">
        <v>0</v>
      </c>
      <c r="AA93" s="152">
        <f>MAX(0,X93+Y93-Z93)</f>
        <v/>
      </c>
      <c r="AB93" s="152">
        <f>AE92</f>
        <v/>
      </c>
      <c r="AC93" s="159">
        <f>IF(AB93&gt;0.005,AB93*Debts!D14/12,0)</f>
        <v/>
      </c>
      <c r="AD93" s="159" t="n">
        <v>0</v>
      </c>
      <c r="AE93" s="152">
        <f>MAX(0,AB93+AC93-AD93)</f>
        <v/>
      </c>
      <c r="AF93" s="152">
        <f>AI92</f>
        <v/>
      </c>
      <c r="AG93" s="159">
        <f>IF(AF93&gt;0.005,AF93*Debts!D15/12,0)</f>
        <v/>
      </c>
      <c r="AH93" s="159" t="n">
        <v>0</v>
      </c>
      <c r="AI93" s="152">
        <f>MAX(0,AF93+AG93-AH93)</f>
        <v/>
      </c>
      <c r="AJ93" s="152">
        <f>AM92</f>
        <v/>
      </c>
      <c r="AK93" s="159">
        <f>IF(AJ93&gt;0.005,AJ93*Debts!D16/12,0)</f>
        <v/>
      </c>
      <c r="AL93" s="159" t="n">
        <v>0</v>
      </c>
      <c r="AM93" s="152">
        <f>MAX(0,AJ93+AK93-AL93)</f>
        <v/>
      </c>
      <c r="AN93" s="152">
        <f>AQ92</f>
        <v/>
      </c>
      <c r="AO93" s="159">
        <f>IF(AN93&gt;0.005,AN93*Debts!D17/12,0)</f>
        <v/>
      </c>
      <c r="AP93" s="159" t="n">
        <v>0</v>
      </c>
      <c r="AQ93" s="152">
        <f>MAX(0,AN93+AO93-AP93)</f>
        <v/>
      </c>
      <c r="AR93" s="152">
        <f>AU92</f>
        <v/>
      </c>
      <c r="AS93" s="159">
        <f>IF(AR93&gt;0.005,AR93*Debts!D18/12,0)</f>
        <v/>
      </c>
      <c r="AT93" s="159" t="n">
        <v>0</v>
      </c>
      <c r="AU93" s="152">
        <f>MAX(0,AR93+AS93-AT93)</f>
        <v/>
      </c>
      <c r="AV93" s="152">
        <f>AY92</f>
        <v/>
      </c>
      <c r="AW93" s="159">
        <f>IF(AV93&gt;0.005,AV93*Debts!D19/12,0)</f>
        <v/>
      </c>
      <c r="AX93" s="159" t="n">
        <v>0</v>
      </c>
      <c r="AY93" s="152">
        <f>MAX(0,AV93+AW93-AX93)</f>
        <v/>
      </c>
      <c r="AZ93" s="152">
        <f>BC92</f>
        <v/>
      </c>
      <c r="BA93" s="159">
        <f>IF(AZ93&gt;0.005,AZ93*Debts!D20/12,0)</f>
        <v/>
      </c>
      <c r="BB93" s="159" t="n">
        <v>0</v>
      </c>
      <c r="BC93" s="152">
        <f>MAX(0,AZ93+BA93-BB93)</f>
        <v/>
      </c>
      <c r="BD93" s="152">
        <f>BG92</f>
        <v/>
      </c>
      <c r="BE93" s="159">
        <f>IF(BD93&gt;0.005,BD93*Debts!D21/12,0)</f>
        <v/>
      </c>
      <c r="BF93" s="159" t="n">
        <v>0</v>
      </c>
      <c r="BG93" s="152">
        <f>MAX(0,BD93+BE93-BF93)</f>
        <v/>
      </c>
      <c r="BH93" s="152">
        <f>BK92</f>
        <v/>
      </c>
      <c r="BI93" s="159">
        <f>IF(BH93&gt;0.005,BH93*Debts!D22/12,0)</f>
        <v/>
      </c>
      <c r="BJ93" s="159" t="n">
        <v>0</v>
      </c>
      <c r="BK93" s="152">
        <f>MAX(0,BH93+BI93-BJ93)</f>
        <v/>
      </c>
      <c r="BL93" s="152">
        <f>BO92</f>
        <v/>
      </c>
      <c r="BM93" s="159">
        <f>IF(BL93&gt;0.005,BL93*Debts!D23/12,0)</f>
        <v/>
      </c>
      <c r="BN93" s="159" t="n">
        <v>0</v>
      </c>
      <c r="BO93" s="152">
        <f>MAX(0,BL93+BM93-BN93)</f>
        <v/>
      </c>
      <c r="BP93" s="152">
        <f>BS92</f>
        <v/>
      </c>
      <c r="BQ93" s="159">
        <f>IF(BP93&gt;0.005,BP93*Debts!D24/12,0)</f>
        <v/>
      </c>
      <c r="BR93" s="159" t="n">
        <v>0</v>
      </c>
      <c r="BS93" s="152">
        <f>MAX(0,BP93+BQ93-BR93)</f>
        <v/>
      </c>
      <c r="BT93" s="152">
        <f>BW92</f>
        <v/>
      </c>
      <c r="BU93" s="159">
        <f>IF(BT93&gt;0.005,BT93*Debts!D25/12,0)</f>
        <v/>
      </c>
      <c r="BV93" s="159" t="n">
        <v>0</v>
      </c>
      <c r="BW93" s="152">
        <f>MAX(0,BT93+BU93-BV93)</f>
        <v/>
      </c>
      <c r="BX93" s="152">
        <f>CA92</f>
        <v/>
      </c>
      <c r="BY93" s="159">
        <f>IF(BX93&gt;0.005,BX93*Debts!D26/12,0)</f>
        <v/>
      </c>
      <c r="BZ93" s="159" t="n">
        <v>0</v>
      </c>
      <c r="CA93" s="152">
        <f>MAX(0,BX93+BY93-BZ93)</f>
        <v/>
      </c>
      <c r="CB93" s="152">
        <f>CE92</f>
        <v/>
      </c>
      <c r="CC93" s="159">
        <f>IF(CB93&gt;0.005,CB93*Debts!D27/12,0)</f>
        <v/>
      </c>
      <c r="CD93" s="159" t="n">
        <v>0</v>
      </c>
      <c r="CE93" s="152">
        <f>MAX(0,CB93+CC93-CD93)</f>
        <v/>
      </c>
      <c r="CF93" s="152">
        <f>G93+K93+O93+S93+W93+AA93+AE93+AI93+AM93+AQ93+AU93+AY93+BC93+BG93+BK93+BO93+BS93+BW93+CA93+CE93</f>
        <v/>
      </c>
      <c r="CG93" s="159">
        <f>E93+I93+M93+Q93+U93+Y93+AC93+AG93+AK93+AO93+AS93+AW93+BA93+BE93+BI93+BM93+BQ93+BU93+BY93+CC93</f>
        <v/>
      </c>
      <c r="CH93" s="152">
        <f>CH92+CG93</f>
        <v/>
      </c>
      <c r="CI93" s="148" t="n"/>
      <c r="CJ93" s="148" t="n"/>
    </row>
    <row r="94" ht="15" customHeight="1" s="83">
      <c r="A94" s="148" t="n"/>
      <c r="B94" s="158" t="n">
        <v>90</v>
      </c>
      <c r="C94" s="152">
        <f>F94+J94+N94+R94+V94+Z94+AD94+AH94+AL94+AP94+AT94+AX94+BB94+BF94+BJ94+BN94+BR94+BV94+BZ94+CD94</f>
        <v/>
      </c>
      <c r="D94" s="152">
        <f>G93</f>
        <v/>
      </c>
      <c r="E94" s="159">
        <f>IF(D94&gt;0.005,D94*Debts!D8/12,0)</f>
        <v/>
      </c>
      <c r="F94" s="159" t="n">
        <v>0</v>
      </c>
      <c r="G94" s="152">
        <f>MAX(0,D94+E94-F94)</f>
        <v/>
      </c>
      <c r="H94" s="152">
        <f>K93</f>
        <v/>
      </c>
      <c r="I94" s="159">
        <f>IF(H94&gt;0.005,H94*Debts!D9/12,0)</f>
        <v/>
      </c>
      <c r="J94" s="159" t="n">
        <v>0</v>
      </c>
      <c r="K94" s="152">
        <f>MAX(0,H94+I94-J94)</f>
        <v/>
      </c>
      <c r="L94" s="152">
        <f>O93</f>
        <v/>
      </c>
      <c r="M94" s="159">
        <f>IF(L94&gt;0.005,L94*Debts!D10/12,0)</f>
        <v/>
      </c>
      <c r="N94" s="159" t="n">
        <v>0</v>
      </c>
      <c r="O94" s="152">
        <f>MAX(0,L94+M94-N94)</f>
        <v/>
      </c>
      <c r="P94" s="152">
        <f>S93</f>
        <v/>
      </c>
      <c r="Q94" s="159">
        <f>IF(P94&gt;0.005,P94*Debts!D11/12,0)</f>
        <v/>
      </c>
      <c r="R94" s="159" t="n">
        <v>0</v>
      </c>
      <c r="S94" s="152">
        <f>MAX(0,P94+Q94-R94)</f>
        <v/>
      </c>
      <c r="T94" s="152">
        <f>W93</f>
        <v/>
      </c>
      <c r="U94" s="159">
        <f>IF(T94&gt;0.005,T94*Debts!D12/12,0)</f>
        <v/>
      </c>
      <c r="V94" s="159" t="n">
        <v>0</v>
      </c>
      <c r="W94" s="152">
        <f>MAX(0,T94+U94-V94)</f>
        <v/>
      </c>
      <c r="X94" s="152">
        <f>AA93</f>
        <v/>
      </c>
      <c r="Y94" s="159">
        <f>IF(X94&gt;0.005,X94*Debts!D13/12,0)</f>
        <v/>
      </c>
      <c r="Z94" s="159" t="n">
        <v>0</v>
      </c>
      <c r="AA94" s="152">
        <f>MAX(0,X94+Y94-Z94)</f>
        <v/>
      </c>
      <c r="AB94" s="152">
        <f>AE93</f>
        <v/>
      </c>
      <c r="AC94" s="159">
        <f>IF(AB94&gt;0.005,AB94*Debts!D14/12,0)</f>
        <v/>
      </c>
      <c r="AD94" s="159" t="n">
        <v>0</v>
      </c>
      <c r="AE94" s="152">
        <f>MAX(0,AB94+AC94-AD94)</f>
        <v/>
      </c>
      <c r="AF94" s="152">
        <f>AI93</f>
        <v/>
      </c>
      <c r="AG94" s="159">
        <f>IF(AF94&gt;0.005,AF94*Debts!D15/12,0)</f>
        <v/>
      </c>
      <c r="AH94" s="159" t="n">
        <v>0</v>
      </c>
      <c r="AI94" s="152">
        <f>MAX(0,AF94+AG94-AH94)</f>
        <v/>
      </c>
      <c r="AJ94" s="152">
        <f>AM93</f>
        <v/>
      </c>
      <c r="AK94" s="159">
        <f>IF(AJ94&gt;0.005,AJ94*Debts!D16/12,0)</f>
        <v/>
      </c>
      <c r="AL94" s="159" t="n">
        <v>0</v>
      </c>
      <c r="AM94" s="152">
        <f>MAX(0,AJ94+AK94-AL94)</f>
        <v/>
      </c>
      <c r="AN94" s="152">
        <f>AQ93</f>
        <v/>
      </c>
      <c r="AO94" s="159">
        <f>IF(AN94&gt;0.005,AN94*Debts!D17/12,0)</f>
        <v/>
      </c>
      <c r="AP94" s="159" t="n">
        <v>0</v>
      </c>
      <c r="AQ94" s="152">
        <f>MAX(0,AN94+AO94-AP94)</f>
        <v/>
      </c>
      <c r="AR94" s="152">
        <f>AU93</f>
        <v/>
      </c>
      <c r="AS94" s="159">
        <f>IF(AR94&gt;0.005,AR94*Debts!D18/12,0)</f>
        <v/>
      </c>
      <c r="AT94" s="159" t="n">
        <v>0</v>
      </c>
      <c r="AU94" s="152">
        <f>MAX(0,AR94+AS94-AT94)</f>
        <v/>
      </c>
      <c r="AV94" s="152">
        <f>AY93</f>
        <v/>
      </c>
      <c r="AW94" s="159">
        <f>IF(AV94&gt;0.005,AV94*Debts!D19/12,0)</f>
        <v/>
      </c>
      <c r="AX94" s="159" t="n">
        <v>0</v>
      </c>
      <c r="AY94" s="152">
        <f>MAX(0,AV94+AW94-AX94)</f>
        <v/>
      </c>
      <c r="AZ94" s="152">
        <f>BC93</f>
        <v/>
      </c>
      <c r="BA94" s="159">
        <f>IF(AZ94&gt;0.005,AZ94*Debts!D20/12,0)</f>
        <v/>
      </c>
      <c r="BB94" s="159" t="n">
        <v>0</v>
      </c>
      <c r="BC94" s="152">
        <f>MAX(0,AZ94+BA94-BB94)</f>
        <v/>
      </c>
      <c r="BD94" s="152">
        <f>BG93</f>
        <v/>
      </c>
      <c r="BE94" s="159">
        <f>IF(BD94&gt;0.005,BD94*Debts!D21/12,0)</f>
        <v/>
      </c>
      <c r="BF94" s="159" t="n">
        <v>0</v>
      </c>
      <c r="BG94" s="152">
        <f>MAX(0,BD94+BE94-BF94)</f>
        <v/>
      </c>
      <c r="BH94" s="152">
        <f>BK93</f>
        <v/>
      </c>
      <c r="BI94" s="159">
        <f>IF(BH94&gt;0.005,BH94*Debts!D22/12,0)</f>
        <v/>
      </c>
      <c r="BJ94" s="159" t="n">
        <v>0</v>
      </c>
      <c r="BK94" s="152">
        <f>MAX(0,BH94+BI94-BJ94)</f>
        <v/>
      </c>
      <c r="BL94" s="152">
        <f>BO93</f>
        <v/>
      </c>
      <c r="BM94" s="159">
        <f>IF(BL94&gt;0.005,BL94*Debts!D23/12,0)</f>
        <v/>
      </c>
      <c r="BN94" s="159" t="n">
        <v>0</v>
      </c>
      <c r="BO94" s="152">
        <f>MAX(0,BL94+BM94-BN94)</f>
        <v/>
      </c>
      <c r="BP94" s="152">
        <f>BS93</f>
        <v/>
      </c>
      <c r="BQ94" s="159">
        <f>IF(BP94&gt;0.005,BP94*Debts!D24/12,0)</f>
        <v/>
      </c>
      <c r="BR94" s="159" t="n">
        <v>0</v>
      </c>
      <c r="BS94" s="152">
        <f>MAX(0,BP94+BQ94-BR94)</f>
        <v/>
      </c>
      <c r="BT94" s="152">
        <f>BW93</f>
        <v/>
      </c>
      <c r="BU94" s="159">
        <f>IF(BT94&gt;0.005,BT94*Debts!D25/12,0)</f>
        <v/>
      </c>
      <c r="BV94" s="159" t="n">
        <v>0</v>
      </c>
      <c r="BW94" s="152">
        <f>MAX(0,BT94+BU94-BV94)</f>
        <v/>
      </c>
      <c r="BX94" s="152">
        <f>CA93</f>
        <v/>
      </c>
      <c r="BY94" s="159">
        <f>IF(BX94&gt;0.005,BX94*Debts!D26/12,0)</f>
        <v/>
      </c>
      <c r="BZ94" s="159" t="n">
        <v>0</v>
      </c>
      <c r="CA94" s="152">
        <f>MAX(0,BX94+BY94-BZ94)</f>
        <v/>
      </c>
      <c r="CB94" s="152">
        <f>CE93</f>
        <v/>
      </c>
      <c r="CC94" s="159">
        <f>IF(CB94&gt;0.005,CB94*Debts!D27/12,0)</f>
        <v/>
      </c>
      <c r="CD94" s="159" t="n">
        <v>0</v>
      </c>
      <c r="CE94" s="152">
        <f>MAX(0,CB94+CC94-CD94)</f>
        <v/>
      </c>
      <c r="CF94" s="152">
        <f>G94+K94+O94+S94+W94+AA94+AE94+AI94+AM94+AQ94+AU94+AY94+BC94+BG94+BK94+BO94+BS94+BW94+CA94+CE94</f>
        <v/>
      </c>
      <c r="CG94" s="159">
        <f>E94+I94+M94+Q94+U94+Y94+AC94+AG94+AK94+AO94+AS94+AW94+BA94+BE94+BI94+BM94+BQ94+BU94+BY94+CC94</f>
        <v/>
      </c>
      <c r="CH94" s="152">
        <f>CH93+CG94</f>
        <v/>
      </c>
      <c r="CI94" s="148" t="n"/>
      <c r="CJ94" s="148" t="n"/>
    </row>
    <row r="95" ht="15" customHeight="1" s="83">
      <c r="A95" s="148" t="n"/>
      <c r="B95" s="158" t="n">
        <v>91</v>
      </c>
      <c r="C95" s="152">
        <f>F95+J95+N95+R95+V95+Z95+AD95+AH95+AL95+AP95+AT95+AX95+BB95+BF95+BJ95+BN95+BR95+BV95+BZ95+CD95</f>
        <v/>
      </c>
      <c r="D95" s="152">
        <f>G94</f>
        <v/>
      </c>
      <c r="E95" s="159">
        <f>IF(D95&gt;0.005,D95*Debts!D8/12,0)</f>
        <v/>
      </c>
      <c r="F95" s="159" t="n">
        <v>0</v>
      </c>
      <c r="G95" s="152">
        <f>MAX(0,D95+E95-F95)</f>
        <v/>
      </c>
      <c r="H95" s="152">
        <f>K94</f>
        <v/>
      </c>
      <c r="I95" s="159">
        <f>IF(H95&gt;0.005,H95*Debts!D9/12,0)</f>
        <v/>
      </c>
      <c r="J95" s="159" t="n">
        <v>0</v>
      </c>
      <c r="K95" s="152">
        <f>MAX(0,H95+I95-J95)</f>
        <v/>
      </c>
      <c r="L95" s="152">
        <f>O94</f>
        <v/>
      </c>
      <c r="M95" s="159">
        <f>IF(L95&gt;0.005,L95*Debts!D10/12,0)</f>
        <v/>
      </c>
      <c r="N95" s="159" t="n">
        <v>0</v>
      </c>
      <c r="O95" s="152">
        <f>MAX(0,L95+M95-N95)</f>
        <v/>
      </c>
      <c r="P95" s="152">
        <f>S94</f>
        <v/>
      </c>
      <c r="Q95" s="159">
        <f>IF(P95&gt;0.005,P95*Debts!D11/12,0)</f>
        <v/>
      </c>
      <c r="R95" s="159" t="n">
        <v>0</v>
      </c>
      <c r="S95" s="152">
        <f>MAX(0,P95+Q95-R95)</f>
        <v/>
      </c>
      <c r="T95" s="152">
        <f>W94</f>
        <v/>
      </c>
      <c r="U95" s="159">
        <f>IF(T95&gt;0.005,T95*Debts!D12/12,0)</f>
        <v/>
      </c>
      <c r="V95" s="159" t="n">
        <v>0</v>
      </c>
      <c r="W95" s="152">
        <f>MAX(0,T95+U95-V95)</f>
        <v/>
      </c>
      <c r="X95" s="152">
        <f>AA94</f>
        <v/>
      </c>
      <c r="Y95" s="159">
        <f>IF(X95&gt;0.005,X95*Debts!D13/12,0)</f>
        <v/>
      </c>
      <c r="Z95" s="159" t="n">
        <v>0</v>
      </c>
      <c r="AA95" s="152">
        <f>MAX(0,X95+Y95-Z95)</f>
        <v/>
      </c>
      <c r="AB95" s="152">
        <f>AE94</f>
        <v/>
      </c>
      <c r="AC95" s="159">
        <f>IF(AB95&gt;0.005,AB95*Debts!D14/12,0)</f>
        <v/>
      </c>
      <c r="AD95" s="159" t="n">
        <v>0</v>
      </c>
      <c r="AE95" s="152">
        <f>MAX(0,AB95+AC95-AD95)</f>
        <v/>
      </c>
      <c r="AF95" s="152">
        <f>AI94</f>
        <v/>
      </c>
      <c r="AG95" s="159">
        <f>IF(AF95&gt;0.005,AF95*Debts!D15/12,0)</f>
        <v/>
      </c>
      <c r="AH95" s="159" t="n">
        <v>0</v>
      </c>
      <c r="AI95" s="152">
        <f>MAX(0,AF95+AG95-AH95)</f>
        <v/>
      </c>
      <c r="AJ95" s="152">
        <f>AM94</f>
        <v/>
      </c>
      <c r="AK95" s="159">
        <f>IF(AJ95&gt;0.005,AJ95*Debts!D16/12,0)</f>
        <v/>
      </c>
      <c r="AL95" s="159" t="n">
        <v>0</v>
      </c>
      <c r="AM95" s="152">
        <f>MAX(0,AJ95+AK95-AL95)</f>
        <v/>
      </c>
      <c r="AN95" s="152">
        <f>AQ94</f>
        <v/>
      </c>
      <c r="AO95" s="159">
        <f>IF(AN95&gt;0.005,AN95*Debts!D17/12,0)</f>
        <v/>
      </c>
      <c r="AP95" s="159" t="n">
        <v>0</v>
      </c>
      <c r="AQ95" s="152">
        <f>MAX(0,AN95+AO95-AP95)</f>
        <v/>
      </c>
      <c r="AR95" s="152">
        <f>AU94</f>
        <v/>
      </c>
      <c r="AS95" s="159">
        <f>IF(AR95&gt;0.005,AR95*Debts!D18/12,0)</f>
        <v/>
      </c>
      <c r="AT95" s="159" t="n">
        <v>0</v>
      </c>
      <c r="AU95" s="152">
        <f>MAX(0,AR95+AS95-AT95)</f>
        <v/>
      </c>
      <c r="AV95" s="152">
        <f>AY94</f>
        <v/>
      </c>
      <c r="AW95" s="159">
        <f>IF(AV95&gt;0.005,AV95*Debts!D19/12,0)</f>
        <v/>
      </c>
      <c r="AX95" s="159" t="n">
        <v>0</v>
      </c>
      <c r="AY95" s="152">
        <f>MAX(0,AV95+AW95-AX95)</f>
        <v/>
      </c>
      <c r="AZ95" s="152">
        <f>BC94</f>
        <v/>
      </c>
      <c r="BA95" s="159">
        <f>IF(AZ95&gt;0.005,AZ95*Debts!D20/12,0)</f>
        <v/>
      </c>
      <c r="BB95" s="159" t="n">
        <v>0</v>
      </c>
      <c r="BC95" s="152">
        <f>MAX(0,AZ95+BA95-BB95)</f>
        <v/>
      </c>
      <c r="BD95" s="152">
        <f>BG94</f>
        <v/>
      </c>
      <c r="BE95" s="159">
        <f>IF(BD95&gt;0.005,BD95*Debts!D21/12,0)</f>
        <v/>
      </c>
      <c r="BF95" s="159" t="n">
        <v>0</v>
      </c>
      <c r="BG95" s="152">
        <f>MAX(0,BD95+BE95-BF95)</f>
        <v/>
      </c>
      <c r="BH95" s="152">
        <f>BK94</f>
        <v/>
      </c>
      <c r="BI95" s="159">
        <f>IF(BH95&gt;0.005,BH95*Debts!D22/12,0)</f>
        <v/>
      </c>
      <c r="BJ95" s="159" t="n">
        <v>0</v>
      </c>
      <c r="BK95" s="152">
        <f>MAX(0,BH95+BI95-BJ95)</f>
        <v/>
      </c>
      <c r="BL95" s="152">
        <f>BO94</f>
        <v/>
      </c>
      <c r="BM95" s="159">
        <f>IF(BL95&gt;0.005,BL95*Debts!D23/12,0)</f>
        <v/>
      </c>
      <c r="BN95" s="159" t="n">
        <v>0</v>
      </c>
      <c r="BO95" s="152">
        <f>MAX(0,BL95+BM95-BN95)</f>
        <v/>
      </c>
      <c r="BP95" s="152">
        <f>BS94</f>
        <v/>
      </c>
      <c r="BQ95" s="159">
        <f>IF(BP95&gt;0.005,BP95*Debts!D24/12,0)</f>
        <v/>
      </c>
      <c r="BR95" s="159" t="n">
        <v>0</v>
      </c>
      <c r="BS95" s="152">
        <f>MAX(0,BP95+BQ95-BR95)</f>
        <v/>
      </c>
      <c r="BT95" s="152">
        <f>BW94</f>
        <v/>
      </c>
      <c r="BU95" s="159">
        <f>IF(BT95&gt;0.005,BT95*Debts!D25/12,0)</f>
        <v/>
      </c>
      <c r="BV95" s="159" t="n">
        <v>0</v>
      </c>
      <c r="BW95" s="152">
        <f>MAX(0,BT95+BU95-BV95)</f>
        <v/>
      </c>
      <c r="BX95" s="152">
        <f>CA94</f>
        <v/>
      </c>
      <c r="BY95" s="159">
        <f>IF(BX95&gt;0.005,BX95*Debts!D26/12,0)</f>
        <v/>
      </c>
      <c r="BZ95" s="159" t="n">
        <v>0</v>
      </c>
      <c r="CA95" s="152">
        <f>MAX(0,BX95+BY95-BZ95)</f>
        <v/>
      </c>
      <c r="CB95" s="152">
        <f>CE94</f>
        <v/>
      </c>
      <c r="CC95" s="159">
        <f>IF(CB95&gt;0.005,CB95*Debts!D27/12,0)</f>
        <v/>
      </c>
      <c r="CD95" s="159" t="n">
        <v>0</v>
      </c>
      <c r="CE95" s="152">
        <f>MAX(0,CB95+CC95-CD95)</f>
        <v/>
      </c>
      <c r="CF95" s="152">
        <f>G95+K95+O95+S95+W95+AA95+AE95+AI95+AM95+AQ95+AU95+AY95+BC95+BG95+BK95+BO95+BS95+BW95+CA95+CE95</f>
        <v/>
      </c>
      <c r="CG95" s="159">
        <f>E95+I95+M95+Q95+U95+Y95+AC95+AG95+AK95+AO95+AS95+AW95+BA95+BE95+BI95+BM95+BQ95+BU95+BY95+CC95</f>
        <v/>
      </c>
      <c r="CH95" s="152">
        <f>CH94+CG95</f>
        <v/>
      </c>
      <c r="CI95" s="148" t="n"/>
      <c r="CJ95" s="148" t="n"/>
    </row>
    <row r="96" ht="15" customHeight="1" s="83">
      <c r="A96" s="148" t="n"/>
      <c r="B96" s="158" t="n">
        <v>92</v>
      </c>
      <c r="C96" s="152">
        <f>F96+J96+N96+R96+V96+Z96+AD96+AH96+AL96+AP96+AT96+AX96+BB96+BF96+BJ96+BN96+BR96+BV96+BZ96+CD96</f>
        <v/>
      </c>
      <c r="D96" s="152">
        <f>G95</f>
        <v/>
      </c>
      <c r="E96" s="159">
        <f>IF(D96&gt;0.005,D96*Debts!D8/12,0)</f>
        <v/>
      </c>
      <c r="F96" s="159" t="n">
        <v>0</v>
      </c>
      <c r="G96" s="152">
        <f>MAX(0,D96+E96-F96)</f>
        <v/>
      </c>
      <c r="H96" s="152">
        <f>K95</f>
        <v/>
      </c>
      <c r="I96" s="159">
        <f>IF(H96&gt;0.005,H96*Debts!D9/12,0)</f>
        <v/>
      </c>
      <c r="J96" s="159" t="n">
        <v>0</v>
      </c>
      <c r="K96" s="152">
        <f>MAX(0,H96+I96-J96)</f>
        <v/>
      </c>
      <c r="L96" s="152">
        <f>O95</f>
        <v/>
      </c>
      <c r="M96" s="159">
        <f>IF(L96&gt;0.005,L96*Debts!D10/12,0)</f>
        <v/>
      </c>
      <c r="N96" s="159" t="n">
        <v>0</v>
      </c>
      <c r="O96" s="152">
        <f>MAX(0,L96+M96-N96)</f>
        <v/>
      </c>
      <c r="P96" s="152">
        <f>S95</f>
        <v/>
      </c>
      <c r="Q96" s="159">
        <f>IF(P96&gt;0.005,P96*Debts!D11/12,0)</f>
        <v/>
      </c>
      <c r="R96" s="159" t="n">
        <v>0</v>
      </c>
      <c r="S96" s="152">
        <f>MAX(0,P96+Q96-R96)</f>
        <v/>
      </c>
      <c r="T96" s="152">
        <f>W95</f>
        <v/>
      </c>
      <c r="U96" s="159">
        <f>IF(T96&gt;0.005,T96*Debts!D12/12,0)</f>
        <v/>
      </c>
      <c r="V96" s="159" t="n">
        <v>0</v>
      </c>
      <c r="W96" s="152">
        <f>MAX(0,T96+U96-V96)</f>
        <v/>
      </c>
      <c r="X96" s="152">
        <f>AA95</f>
        <v/>
      </c>
      <c r="Y96" s="159">
        <f>IF(X96&gt;0.005,X96*Debts!D13/12,0)</f>
        <v/>
      </c>
      <c r="Z96" s="159" t="n">
        <v>0</v>
      </c>
      <c r="AA96" s="152">
        <f>MAX(0,X96+Y96-Z96)</f>
        <v/>
      </c>
      <c r="AB96" s="152">
        <f>AE95</f>
        <v/>
      </c>
      <c r="AC96" s="159">
        <f>IF(AB96&gt;0.005,AB96*Debts!D14/12,0)</f>
        <v/>
      </c>
      <c r="AD96" s="159" t="n">
        <v>0</v>
      </c>
      <c r="AE96" s="152">
        <f>MAX(0,AB96+AC96-AD96)</f>
        <v/>
      </c>
      <c r="AF96" s="152">
        <f>AI95</f>
        <v/>
      </c>
      <c r="AG96" s="159">
        <f>IF(AF96&gt;0.005,AF96*Debts!D15/12,0)</f>
        <v/>
      </c>
      <c r="AH96" s="159" t="n">
        <v>0</v>
      </c>
      <c r="AI96" s="152">
        <f>MAX(0,AF96+AG96-AH96)</f>
        <v/>
      </c>
      <c r="AJ96" s="152">
        <f>AM95</f>
        <v/>
      </c>
      <c r="AK96" s="159">
        <f>IF(AJ96&gt;0.005,AJ96*Debts!D16/12,0)</f>
        <v/>
      </c>
      <c r="AL96" s="159" t="n">
        <v>0</v>
      </c>
      <c r="AM96" s="152">
        <f>MAX(0,AJ96+AK96-AL96)</f>
        <v/>
      </c>
      <c r="AN96" s="152">
        <f>AQ95</f>
        <v/>
      </c>
      <c r="AO96" s="159">
        <f>IF(AN96&gt;0.005,AN96*Debts!D17/12,0)</f>
        <v/>
      </c>
      <c r="AP96" s="159" t="n">
        <v>0</v>
      </c>
      <c r="AQ96" s="152">
        <f>MAX(0,AN96+AO96-AP96)</f>
        <v/>
      </c>
      <c r="AR96" s="152">
        <f>AU95</f>
        <v/>
      </c>
      <c r="AS96" s="159">
        <f>IF(AR96&gt;0.005,AR96*Debts!D18/12,0)</f>
        <v/>
      </c>
      <c r="AT96" s="159" t="n">
        <v>0</v>
      </c>
      <c r="AU96" s="152">
        <f>MAX(0,AR96+AS96-AT96)</f>
        <v/>
      </c>
      <c r="AV96" s="152">
        <f>AY95</f>
        <v/>
      </c>
      <c r="AW96" s="159">
        <f>IF(AV96&gt;0.005,AV96*Debts!D19/12,0)</f>
        <v/>
      </c>
      <c r="AX96" s="159" t="n">
        <v>0</v>
      </c>
      <c r="AY96" s="152">
        <f>MAX(0,AV96+AW96-AX96)</f>
        <v/>
      </c>
      <c r="AZ96" s="152">
        <f>BC95</f>
        <v/>
      </c>
      <c r="BA96" s="159">
        <f>IF(AZ96&gt;0.005,AZ96*Debts!D20/12,0)</f>
        <v/>
      </c>
      <c r="BB96" s="159" t="n">
        <v>0</v>
      </c>
      <c r="BC96" s="152">
        <f>MAX(0,AZ96+BA96-BB96)</f>
        <v/>
      </c>
      <c r="BD96" s="152">
        <f>BG95</f>
        <v/>
      </c>
      <c r="BE96" s="159">
        <f>IF(BD96&gt;0.005,BD96*Debts!D21/12,0)</f>
        <v/>
      </c>
      <c r="BF96" s="159" t="n">
        <v>0</v>
      </c>
      <c r="BG96" s="152">
        <f>MAX(0,BD96+BE96-BF96)</f>
        <v/>
      </c>
      <c r="BH96" s="152">
        <f>BK95</f>
        <v/>
      </c>
      <c r="BI96" s="159">
        <f>IF(BH96&gt;0.005,BH96*Debts!D22/12,0)</f>
        <v/>
      </c>
      <c r="BJ96" s="159" t="n">
        <v>0</v>
      </c>
      <c r="BK96" s="152">
        <f>MAX(0,BH96+BI96-BJ96)</f>
        <v/>
      </c>
      <c r="BL96" s="152">
        <f>BO95</f>
        <v/>
      </c>
      <c r="BM96" s="159">
        <f>IF(BL96&gt;0.005,BL96*Debts!D23/12,0)</f>
        <v/>
      </c>
      <c r="BN96" s="159" t="n">
        <v>0</v>
      </c>
      <c r="BO96" s="152">
        <f>MAX(0,BL96+BM96-BN96)</f>
        <v/>
      </c>
      <c r="BP96" s="152">
        <f>BS95</f>
        <v/>
      </c>
      <c r="BQ96" s="159">
        <f>IF(BP96&gt;0.005,BP96*Debts!D24/12,0)</f>
        <v/>
      </c>
      <c r="BR96" s="159" t="n">
        <v>0</v>
      </c>
      <c r="BS96" s="152">
        <f>MAX(0,BP96+BQ96-BR96)</f>
        <v/>
      </c>
      <c r="BT96" s="152">
        <f>BW95</f>
        <v/>
      </c>
      <c r="BU96" s="159">
        <f>IF(BT96&gt;0.005,BT96*Debts!D25/12,0)</f>
        <v/>
      </c>
      <c r="BV96" s="159" t="n">
        <v>0</v>
      </c>
      <c r="BW96" s="152">
        <f>MAX(0,BT96+BU96-BV96)</f>
        <v/>
      </c>
      <c r="BX96" s="152">
        <f>CA95</f>
        <v/>
      </c>
      <c r="BY96" s="159">
        <f>IF(BX96&gt;0.005,BX96*Debts!D26/12,0)</f>
        <v/>
      </c>
      <c r="BZ96" s="159" t="n">
        <v>0</v>
      </c>
      <c r="CA96" s="152">
        <f>MAX(0,BX96+BY96-BZ96)</f>
        <v/>
      </c>
      <c r="CB96" s="152">
        <f>CE95</f>
        <v/>
      </c>
      <c r="CC96" s="159">
        <f>IF(CB96&gt;0.005,CB96*Debts!D27/12,0)</f>
        <v/>
      </c>
      <c r="CD96" s="159" t="n">
        <v>0</v>
      </c>
      <c r="CE96" s="152">
        <f>MAX(0,CB96+CC96-CD96)</f>
        <v/>
      </c>
      <c r="CF96" s="152">
        <f>G96+K96+O96+S96+W96+AA96+AE96+AI96+AM96+AQ96+AU96+AY96+BC96+BG96+BK96+BO96+BS96+BW96+CA96+CE96</f>
        <v/>
      </c>
      <c r="CG96" s="159">
        <f>E96+I96+M96+Q96+U96+Y96+AC96+AG96+AK96+AO96+AS96+AW96+BA96+BE96+BI96+BM96+BQ96+BU96+BY96+CC96</f>
        <v/>
      </c>
      <c r="CH96" s="152">
        <f>CH95+CG96</f>
        <v/>
      </c>
      <c r="CI96" s="148" t="n"/>
      <c r="CJ96" s="148" t="n"/>
    </row>
    <row r="97" ht="15" customHeight="1" s="83">
      <c r="A97" s="148" t="n"/>
      <c r="B97" s="158" t="n">
        <v>93</v>
      </c>
      <c r="C97" s="152">
        <f>F97+J97+N97+R97+V97+Z97+AD97+AH97+AL97+AP97+AT97+AX97+BB97+BF97+BJ97+BN97+BR97+BV97+BZ97+CD97</f>
        <v/>
      </c>
      <c r="D97" s="152">
        <f>G96</f>
        <v/>
      </c>
      <c r="E97" s="159">
        <f>IF(D97&gt;0.005,D97*Debts!D8/12,0)</f>
        <v/>
      </c>
      <c r="F97" s="159" t="n">
        <v>0</v>
      </c>
      <c r="G97" s="152">
        <f>MAX(0,D97+E97-F97)</f>
        <v/>
      </c>
      <c r="H97" s="152">
        <f>K96</f>
        <v/>
      </c>
      <c r="I97" s="159">
        <f>IF(H97&gt;0.005,H97*Debts!D9/12,0)</f>
        <v/>
      </c>
      <c r="J97" s="159" t="n">
        <v>0</v>
      </c>
      <c r="K97" s="152">
        <f>MAX(0,H97+I97-J97)</f>
        <v/>
      </c>
      <c r="L97" s="152">
        <f>O96</f>
        <v/>
      </c>
      <c r="M97" s="159">
        <f>IF(L97&gt;0.005,L97*Debts!D10/12,0)</f>
        <v/>
      </c>
      <c r="N97" s="159" t="n">
        <v>0</v>
      </c>
      <c r="O97" s="152">
        <f>MAX(0,L97+M97-N97)</f>
        <v/>
      </c>
      <c r="P97" s="152">
        <f>S96</f>
        <v/>
      </c>
      <c r="Q97" s="159">
        <f>IF(P97&gt;0.005,P97*Debts!D11/12,0)</f>
        <v/>
      </c>
      <c r="R97" s="159" t="n">
        <v>0</v>
      </c>
      <c r="S97" s="152">
        <f>MAX(0,P97+Q97-R97)</f>
        <v/>
      </c>
      <c r="T97" s="152">
        <f>W96</f>
        <v/>
      </c>
      <c r="U97" s="159">
        <f>IF(T97&gt;0.005,T97*Debts!D12/12,0)</f>
        <v/>
      </c>
      <c r="V97" s="159" t="n">
        <v>0</v>
      </c>
      <c r="W97" s="152">
        <f>MAX(0,T97+U97-V97)</f>
        <v/>
      </c>
      <c r="X97" s="152">
        <f>AA96</f>
        <v/>
      </c>
      <c r="Y97" s="159">
        <f>IF(X97&gt;0.005,X97*Debts!D13/12,0)</f>
        <v/>
      </c>
      <c r="Z97" s="159" t="n">
        <v>0</v>
      </c>
      <c r="AA97" s="152">
        <f>MAX(0,X97+Y97-Z97)</f>
        <v/>
      </c>
      <c r="AB97" s="152">
        <f>AE96</f>
        <v/>
      </c>
      <c r="AC97" s="159">
        <f>IF(AB97&gt;0.005,AB97*Debts!D14/12,0)</f>
        <v/>
      </c>
      <c r="AD97" s="159" t="n">
        <v>0</v>
      </c>
      <c r="AE97" s="152">
        <f>MAX(0,AB97+AC97-AD97)</f>
        <v/>
      </c>
      <c r="AF97" s="152">
        <f>AI96</f>
        <v/>
      </c>
      <c r="AG97" s="159">
        <f>IF(AF97&gt;0.005,AF97*Debts!D15/12,0)</f>
        <v/>
      </c>
      <c r="AH97" s="159" t="n">
        <v>0</v>
      </c>
      <c r="AI97" s="152">
        <f>MAX(0,AF97+AG97-AH97)</f>
        <v/>
      </c>
      <c r="AJ97" s="152">
        <f>AM96</f>
        <v/>
      </c>
      <c r="AK97" s="159">
        <f>IF(AJ97&gt;0.005,AJ97*Debts!D16/12,0)</f>
        <v/>
      </c>
      <c r="AL97" s="159" t="n">
        <v>0</v>
      </c>
      <c r="AM97" s="152">
        <f>MAX(0,AJ97+AK97-AL97)</f>
        <v/>
      </c>
      <c r="AN97" s="152">
        <f>AQ96</f>
        <v/>
      </c>
      <c r="AO97" s="159">
        <f>IF(AN97&gt;0.005,AN97*Debts!D17/12,0)</f>
        <v/>
      </c>
      <c r="AP97" s="159" t="n">
        <v>0</v>
      </c>
      <c r="AQ97" s="152">
        <f>MAX(0,AN97+AO97-AP97)</f>
        <v/>
      </c>
      <c r="AR97" s="152">
        <f>AU96</f>
        <v/>
      </c>
      <c r="AS97" s="159">
        <f>IF(AR97&gt;0.005,AR97*Debts!D18/12,0)</f>
        <v/>
      </c>
      <c r="AT97" s="159" t="n">
        <v>0</v>
      </c>
      <c r="AU97" s="152">
        <f>MAX(0,AR97+AS97-AT97)</f>
        <v/>
      </c>
      <c r="AV97" s="152">
        <f>AY96</f>
        <v/>
      </c>
      <c r="AW97" s="159">
        <f>IF(AV97&gt;0.005,AV97*Debts!D19/12,0)</f>
        <v/>
      </c>
      <c r="AX97" s="159" t="n">
        <v>0</v>
      </c>
      <c r="AY97" s="152">
        <f>MAX(0,AV97+AW97-AX97)</f>
        <v/>
      </c>
      <c r="AZ97" s="152">
        <f>BC96</f>
        <v/>
      </c>
      <c r="BA97" s="159">
        <f>IF(AZ97&gt;0.005,AZ97*Debts!D20/12,0)</f>
        <v/>
      </c>
      <c r="BB97" s="159" t="n">
        <v>0</v>
      </c>
      <c r="BC97" s="152">
        <f>MAX(0,AZ97+BA97-BB97)</f>
        <v/>
      </c>
      <c r="BD97" s="152">
        <f>BG96</f>
        <v/>
      </c>
      <c r="BE97" s="159">
        <f>IF(BD97&gt;0.005,BD97*Debts!D21/12,0)</f>
        <v/>
      </c>
      <c r="BF97" s="159" t="n">
        <v>0</v>
      </c>
      <c r="BG97" s="152">
        <f>MAX(0,BD97+BE97-BF97)</f>
        <v/>
      </c>
      <c r="BH97" s="152">
        <f>BK96</f>
        <v/>
      </c>
      <c r="BI97" s="159">
        <f>IF(BH97&gt;0.005,BH97*Debts!D22/12,0)</f>
        <v/>
      </c>
      <c r="BJ97" s="159" t="n">
        <v>0</v>
      </c>
      <c r="BK97" s="152">
        <f>MAX(0,BH97+BI97-BJ97)</f>
        <v/>
      </c>
      <c r="BL97" s="152">
        <f>BO96</f>
        <v/>
      </c>
      <c r="BM97" s="159">
        <f>IF(BL97&gt;0.005,BL97*Debts!D23/12,0)</f>
        <v/>
      </c>
      <c r="BN97" s="159" t="n">
        <v>0</v>
      </c>
      <c r="BO97" s="152">
        <f>MAX(0,BL97+BM97-BN97)</f>
        <v/>
      </c>
      <c r="BP97" s="152">
        <f>BS96</f>
        <v/>
      </c>
      <c r="BQ97" s="159">
        <f>IF(BP97&gt;0.005,BP97*Debts!D24/12,0)</f>
        <v/>
      </c>
      <c r="BR97" s="159" t="n">
        <v>0</v>
      </c>
      <c r="BS97" s="152">
        <f>MAX(0,BP97+BQ97-BR97)</f>
        <v/>
      </c>
      <c r="BT97" s="152">
        <f>BW96</f>
        <v/>
      </c>
      <c r="BU97" s="159">
        <f>IF(BT97&gt;0.005,BT97*Debts!D25/12,0)</f>
        <v/>
      </c>
      <c r="BV97" s="159" t="n">
        <v>0</v>
      </c>
      <c r="BW97" s="152">
        <f>MAX(0,BT97+BU97-BV97)</f>
        <v/>
      </c>
      <c r="BX97" s="152">
        <f>CA96</f>
        <v/>
      </c>
      <c r="BY97" s="159">
        <f>IF(BX97&gt;0.005,BX97*Debts!D26/12,0)</f>
        <v/>
      </c>
      <c r="BZ97" s="159" t="n">
        <v>0</v>
      </c>
      <c r="CA97" s="152">
        <f>MAX(0,BX97+BY97-BZ97)</f>
        <v/>
      </c>
      <c r="CB97" s="152">
        <f>CE96</f>
        <v/>
      </c>
      <c r="CC97" s="159">
        <f>IF(CB97&gt;0.005,CB97*Debts!D27/12,0)</f>
        <v/>
      </c>
      <c r="CD97" s="159" t="n">
        <v>0</v>
      </c>
      <c r="CE97" s="152">
        <f>MAX(0,CB97+CC97-CD97)</f>
        <v/>
      </c>
      <c r="CF97" s="152">
        <f>G97+K97+O97+S97+W97+AA97+AE97+AI97+AM97+AQ97+AU97+AY97+BC97+BG97+BK97+BO97+BS97+BW97+CA97+CE97</f>
        <v/>
      </c>
      <c r="CG97" s="159">
        <f>E97+I97+M97+Q97+U97+Y97+AC97+AG97+AK97+AO97+AS97+AW97+BA97+BE97+BI97+BM97+BQ97+BU97+BY97+CC97</f>
        <v/>
      </c>
      <c r="CH97" s="152">
        <f>CH96+CG97</f>
        <v/>
      </c>
      <c r="CI97" s="148" t="n"/>
      <c r="CJ97" s="148" t="n"/>
    </row>
    <row r="98" ht="15" customHeight="1" s="83">
      <c r="A98" s="148" t="n"/>
      <c r="B98" s="158" t="n">
        <v>94</v>
      </c>
      <c r="C98" s="152">
        <f>F98+J98+N98+R98+V98+Z98+AD98+AH98+AL98+AP98+AT98+AX98+BB98+BF98+BJ98+BN98+BR98+BV98+BZ98+CD98</f>
        <v/>
      </c>
      <c r="D98" s="152">
        <f>G97</f>
        <v/>
      </c>
      <c r="E98" s="159">
        <f>IF(D98&gt;0.005,D98*Debts!D8/12,0)</f>
        <v/>
      </c>
      <c r="F98" s="159" t="n">
        <v>0</v>
      </c>
      <c r="G98" s="152">
        <f>MAX(0,D98+E98-F98)</f>
        <v/>
      </c>
      <c r="H98" s="152">
        <f>K97</f>
        <v/>
      </c>
      <c r="I98" s="159">
        <f>IF(H98&gt;0.005,H98*Debts!D9/12,0)</f>
        <v/>
      </c>
      <c r="J98" s="159" t="n">
        <v>0</v>
      </c>
      <c r="K98" s="152">
        <f>MAX(0,H98+I98-J98)</f>
        <v/>
      </c>
      <c r="L98" s="152">
        <f>O97</f>
        <v/>
      </c>
      <c r="M98" s="159">
        <f>IF(L98&gt;0.005,L98*Debts!D10/12,0)</f>
        <v/>
      </c>
      <c r="N98" s="159" t="n">
        <v>0</v>
      </c>
      <c r="O98" s="152">
        <f>MAX(0,L98+M98-N98)</f>
        <v/>
      </c>
      <c r="P98" s="152">
        <f>S97</f>
        <v/>
      </c>
      <c r="Q98" s="159">
        <f>IF(P98&gt;0.005,P98*Debts!D11/12,0)</f>
        <v/>
      </c>
      <c r="R98" s="159" t="n">
        <v>0</v>
      </c>
      <c r="S98" s="152">
        <f>MAX(0,P98+Q98-R98)</f>
        <v/>
      </c>
      <c r="T98" s="152">
        <f>W97</f>
        <v/>
      </c>
      <c r="U98" s="159">
        <f>IF(T98&gt;0.005,T98*Debts!D12/12,0)</f>
        <v/>
      </c>
      <c r="V98" s="159" t="n">
        <v>0</v>
      </c>
      <c r="W98" s="152">
        <f>MAX(0,T98+U98-V98)</f>
        <v/>
      </c>
      <c r="X98" s="152">
        <f>AA97</f>
        <v/>
      </c>
      <c r="Y98" s="159">
        <f>IF(X98&gt;0.005,X98*Debts!D13/12,0)</f>
        <v/>
      </c>
      <c r="Z98" s="159" t="n">
        <v>0</v>
      </c>
      <c r="AA98" s="152">
        <f>MAX(0,X98+Y98-Z98)</f>
        <v/>
      </c>
      <c r="AB98" s="152">
        <f>AE97</f>
        <v/>
      </c>
      <c r="AC98" s="159">
        <f>IF(AB98&gt;0.005,AB98*Debts!D14/12,0)</f>
        <v/>
      </c>
      <c r="AD98" s="159" t="n">
        <v>0</v>
      </c>
      <c r="AE98" s="152">
        <f>MAX(0,AB98+AC98-AD98)</f>
        <v/>
      </c>
      <c r="AF98" s="152">
        <f>AI97</f>
        <v/>
      </c>
      <c r="AG98" s="159">
        <f>IF(AF98&gt;0.005,AF98*Debts!D15/12,0)</f>
        <v/>
      </c>
      <c r="AH98" s="159" t="n">
        <v>0</v>
      </c>
      <c r="AI98" s="152">
        <f>MAX(0,AF98+AG98-AH98)</f>
        <v/>
      </c>
      <c r="AJ98" s="152">
        <f>AM97</f>
        <v/>
      </c>
      <c r="AK98" s="159">
        <f>IF(AJ98&gt;0.005,AJ98*Debts!D16/12,0)</f>
        <v/>
      </c>
      <c r="AL98" s="159" t="n">
        <v>0</v>
      </c>
      <c r="AM98" s="152">
        <f>MAX(0,AJ98+AK98-AL98)</f>
        <v/>
      </c>
      <c r="AN98" s="152">
        <f>AQ97</f>
        <v/>
      </c>
      <c r="AO98" s="159">
        <f>IF(AN98&gt;0.005,AN98*Debts!D17/12,0)</f>
        <v/>
      </c>
      <c r="AP98" s="159" t="n">
        <v>0</v>
      </c>
      <c r="AQ98" s="152">
        <f>MAX(0,AN98+AO98-AP98)</f>
        <v/>
      </c>
      <c r="AR98" s="152">
        <f>AU97</f>
        <v/>
      </c>
      <c r="AS98" s="159">
        <f>IF(AR98&gt;0.005,AR98*Debts!D18/12,0)</f>
        <v/>
      </c>
      <c r="AT98" s="159" t="n">
        <v>0</v>
      </c>
      <c r="AU98" s="152">
        <f>MAX(0,AR98+AS98-AT98)</f>
        <v/>
      </c>
      <c r="AV98" s="152">
        <f>AY97</f>
        <v/>
      </c>
      <c r="AW98" s="159">
        <f>IF(AV98&gt;0.005,AV98*Debts!D19/12,0)</f>
        <v/>
      </c>
      <c r="AX98" s="159" t="n">
        <v>0</v>
      </c>
      <c r="AY98" s="152">
        <f>MAX(0,AV98+AW98-AX98)</f>
        <v/>
      </c>
      <c r="AZ98" s="152">
        <f>BC97</f>
        <v/>
      </c>
      <c r="BA98" s="159">
        <f>IF(AZ98&gt;0.005,AZ98*Debts!D20/12,0)</f>
        <v/>
      </c>
      <c r="BB98" s="159" t="n">
        <v>0</v>
      </c>
      <c r="BC98" s="152">
        <f>MAX(0,AZ98+BA98-BB98)</f>
        <v/>
      </c>
      <c r="BD98" s="152">
        <f>BG97</f>
        <v/>
      </c>
      <c r="BE98" s="159">
        <f>IF(BD98&gt;0.005,BD98*Debts!D21/12,0)</f>
        <v/>
      </c>
      <c r="BF98" s="159" t="n">
        <v>0</v>
      </c>
      <c r="BG98" s="152">
        <f>MAX(0,BD98+BE98-BF98)</f>
        <v/>
      </c>
      <c r="BH98" s="152">
        <f>BK97</f>
        <v/>
      </c>
      <c r="BI98" s="159">
        <f>IF(BH98&gt;0.005,BH98*Debts!D22/12,0)</f>
        <v/>
      </c>
      <c r="BJ98" s="159" t="n">
        <v>0</v>
      </c>
      <c r="BK98" s="152">
        <f>MAX(0,BH98+BI98-BJ98)</f>
        <v/>
      </c>
      <c r="BL98" s="152">
        <f>BO97</f>
        <v/>
      </c>
      <c r="BM98" s="159">
        <f>IF(BL98&gt;0.005,BL98*Debts!D23/12,0)</f>
        <v/>
      </c>
      <c r="BN98" s="159" t="n">
        <v>0</v>
      </c>
      <c r="BO98" s="152">
        <f>MAX(0,BL98+BM98-BN98)</f>
        <v/>
      </c>
      <c r="BP98" s="152">
        <f>BS97</f>
        <v/>
      </c>
      <c r="BQ98" s="159">
        <f>IF(BP98&gt;0.005,BP98*Debts!D24/12,0)</f>
        <v/>
      </c>
      <c r="BR98" s="159" t="n">
        <v>0</v>
      </c>
      <c r="BS98" s="152">
        <f>MAX(0,BP98+BQ98-BR98)</f>
        <v/>
      </c>
      <c r="BT98" s="152">
        <f>BW97</f>
        <v/>
      </c>
      <c r="BU98" s="159">
        <f>IF(BT98&gt;0.005,BT98*Debts!D25/12,0)</f>
        <v/>
      </c>
      <c r="BV98" s="159" t="n">
        <v>0</v>
      </c>
      <c r="BW98" s="152">
        <f>MAX(0,BT98+BU98-BV98)</f>
        <v/>
      </c>
      <c r="BX98" s="152">
        <f>CA97</f>
        <v/>
      </c>
      <c r="BY98" s="159">
        <f>IF(BX98&gt;0.005,BX98*Debts!D26/12,0)</f>
        <v/>
      </c>
      <c r="BZ98" s="159" t="n">
        <v>0</v>
      </c>
      <c r="CA98" s="152">
        <f>MAX(0,BX98+BY98-BZ98)</f>
        <v/>
      </c>
      <c r="CB98" s="152">
        <f>CE97</f>
        <v/>
      </c>
      <c r="CC98" s="159">
        <f>IF(CB98&gt;0.005,CB98*Debts!D27/12,0)</f>
        <v/>
      </c>
      <c r="CD98" s="159" t="n">
        <v>0</v>
      </c>
      <c r="CE98" s="152">
        <f>MAX(0,CB98+CC98-CD98)</f>
        <v/>
      </c>
      <c r="CF98" s="152">
        <f>G98+K98+O98+S98+W98+AA98+AE98+AI98+AM98+AQ98+AU98+AY98+BC98+BG98+BK98+BO98+BS98+BW98+CA98+CE98</f>
        <v/>
      </c>
      <c r="CG98" s="159">
        <f>E98+I98+M98+Q98+U98+Y98+AC98+AG98+AK98+AO98+AS98+AW98+BA98+BE98+BI98+BM98+BQ98+BU98+BY98+CC98</f>
        <v/>
      </c>
      <c r="CH98" s="152">
        <f>CH97+CG98</f>
        <v/>
      </c>
      <c r="CI98" s="148" t="n"/>
      <c r="CJ98" s="148" t="n"/>
    </row>
    <row r="99" ht="15" customHeight="1" s="83">
      <c r="A99" s="148" t="n"/>
      <c r="B99" s="158" t="n">
        <v>95</v>
      </c>
      <c r="C99" s="152">
        <f>F99+J99+N99+R99+V99+Z99+AD99+AH99+AL99+AP99+AT99+AX99+BB99+BF99+BJ99+BN99+BR99+BV99+BZ99+CD99</f>
        <v/>
      </c>
      <c r="D99" s="152">
        <f>G98</f>
        <v/>
      </c>
      <c r="E99" s="159">
        <f>IF(D99&gt;0.005,D99*Debts!D8/12,0)</f>
        <v/>
      </c>
      <c r="F99" s="159" t="n">
        <v>0</v>
      </c>
      <c r="G99" s="152">
        <f>MAX(0,D99+E99-F99)</f>
        <v/>
      </c>
      <c r="H99" s="152">
        <f>K98</f>
        <v/>
      </c>
      <c r="I99" s="159">
        <f>IF(H99&gt;0.005,H99*Debts!D9/12,0)</f>
        <v/>
      </c>
      <c r="J99" s="159" t="n">
        <v>0</v>
      </c>
      <c r="K99" s="152">
        <f>MAX(0,H99+I99-J99)</f>
        <v/>
      </c>
      <c r="L99" s="152">
        <f>O98</f>
        <v/>
      </c>
      <c r="M99" s="159">
        <f>IF(L99&gt;0.005,L99*Debts!D10/12,0)</f>
        <v/>
      </c>
      <c r="N99" s="159" t="n">
        <v>0</v>
      </c>
      <c r="O99" s="152">
        <f>MAX(0,L99+M99-N99)</f>
        <v/>
      </c>
      <c r="P99" s="152">
        <f>S98</f>
        <v/>
      </c>
      <c r="Q99" s="159">
        <f>IF(P99&gt;0.005,P99*Debts!D11/12,0)</f>
        <v/>
      </c>
      <c r="R99" s="159" t="n">
        <v>0</v>
      </c>
      <c r="S99" s="152">
        <f>MAX(0,P99+Q99-R99)</f>
        <v/>
      </c>
      <c r="T99" s="152">
        <f>W98</f>
        <v/>
      </c>
      <c r="U99" s="159">
        <f>IF(T99&gt;0.005,T99*Debts!D12/12,0)</f>
        <v/>
      </c>
      <c r="V99" s="159" t="n">
        <v>0</v>
      </c>
      <c r="W99" s="152">
        <f>MAX(0,T99+U99-V99)</f>
        <v/>
      </c>
      <c r="X99" s="152">
        <f>AA98</f>
        <v/>
      </c>
      <c r="Y99" s="159">
        <f>IF(X99&gt;0.005,X99*Debts!D13/12,0)</f>
        <v/>
      </c>
      <c r="Z99" s="159" t="n">
        <v>0</v>
      </c>
      <c r="AA99" s="152">
        <f>MAX(0,X99+Y99-Z99)</f>
        <v/>
      </c>
      <c r="AB99" s="152">
        <f>AE98</f>
        <v/>
      </c>
      <c r="AC99" s="159">
        <f>IF(AB99&gt;0.005,AB99*Debts!D14/12,0)</f>
        <v/>
      </c>
      <c r="AD99" s="159" t="n">
        <v>0</v>
      </c>
      <c r="AE99" s="152">
        <f>MAX(0,AB99+AC99-AD99)</f>
        <v/>
      </c>
      <c r="AF99" s="152">
        <f>AI98</f>
        <v/>
      </c>
      <c r="AG99" s="159">
        <f>IF(AF99&gt;0.005,AF99*Debts!D15/12,0)</f>
        <v/>
      </c>
      <c r="AH99" s="159" t="n">
        <v>0</v>
      </c>
      <c r="AI99" s="152">
        <f>MAX(0,AF99+AG99-AH99)</f>
        <v/>
      </c>
      <c r="AJ99" s="152">
        <f>AM98</f>
        <v/>
      </c>
      <c r="AK99" s="159">
        <f>IF(AJ99&gt;0.005,AJ99*Debts!D16/12,0)</f>
        <v/>
      </c>
      <c r="AL99" s="159" t="n">
        <v>0</v>
      </c>
      <c r="AM99" s="152">
        <f>MAX(0,AJ99+AK99-AL99)</f>
        <v/>
      </c>
      <c r="AN99" s="152">
        <f>AQ98</f>
        <v/>
      </c>
      <c r="AO99" s="159">
        <f>IF(AN99&gt;0.005,AN99*Debts!D17/12,0)</f>
        <v/>
      </c>
      <c r="AP99" s="159" t="n">
        <v>0</v>
      </c>
      <c r="AQ99" s="152">
        <f>MAX(0,AN99+AO99-AP99)</f>
        <v/>
      </c>
      <c r="AR99" s="152">
        <f>AU98</f>
        <v/>
      </c>
      <c r="AS99" s="159">
        <f>IF(AR99&gt;0.005,AR99*Debts!D18/12,0)</f>
        <v/>
      </c>
      <c r="AT99" s="159" t="n">
        <v>0</v>
      </c>
      <c r="AU99" s="152">
        <f>MAX(0,AR99+AS99-AT99)</f>
        <v/>
      </c>
      <c r="AV99" s="152">
        <f>AY98</f>
        <v/>
      </c>
      <c r="AW99" s="159">
        <f>IF(AV99&gt;0.005,AV99*Debts!D19/12,0)</f>
        <v/>
      </c>
      <c r="AX99" s="159" t="n">
        <v>0</v>
      </c>
      <c r="AY99" s="152">
        <f>MAX(0,AV99+AW99-AX99)</f>
        <v/>
      </c>
      <c r="AZ99" s="152">
        <f>BC98</f>
        <v/>
      </c>
      <c r="BA99" s="159">
        <f>IF(AZ99&gt;0.005,AZ99*Debts!D20/12,0)</f>
        <v/>
      </c>
      <c r="BB99" s="159" t="n">
        <v>0</v>
      </c>
      <c r="BC99" s="152">
        <f>MAX(0,AZ99+BA99-BB99)</f>
        <v/>
      </c>
      <c r="BD99" s="152">
        <f>BG98</f>
        <v/>
      </c>
      <c r="BE99" s="159">
        <f>IF(BD99&gt;0.005,BD99*Debts!D21/12,0)</f>
        <v/>
      </c>
      <c r="BF99" s="159" t="n">
        <v>0</v>
      </c>
      <c r="BG99" s="152">
        <f>MAX(0,BD99+BE99-BF99)</f>
        <v/>
      </c>
      <c r="BH99" s="152">
        <f>BK98</f>
        <v/>
      </c>
      <c r="BI99" s="159">
        <f>IF(BH99&gt;0.005,BH99*Debts!D22/12,0)</f>
        <v/>
      </c>
      <c r="BJ99" s="159" t="n">
        <v>0</v>
      </c>
      <c r="BK99" s="152">
        <f>MAX(0,BH99+BI99-BJ99)</f>
        <v/>
      </c>
      <c r="BL99" s="152">
        <f>BO98</f>
        <v/>
      </c>
      <c r="BM99" s="159">
        <f>IF(BL99&gt;0.005,BL99*Debts!D23/12,0)</f>
        <v/>
      </c>
      <c r="BN99" s="159" t="n">
        <v>0</v>
      </c>
      <c r="BO99" s="152">
        <f>MAX(0,BL99+BM99-BN99)</f>
        <v/>
      </c>
      <c r="BP99" s="152">
        <f>BS98</f>
        <v/>
      </c>
      <c r="BQ99" s="159">
        <f>IF(BP99&gt;0.005,BP99*Debts!D24/12,0)</f>
        <v/>
      </c>
      <c r="BR99" s="159" t="n">
        <v>0</v>
      </c>
      <c r="BS99" s="152">
        <f>MAX(0,BP99+BQ99-BR99)</f>
        <v/>
      </c>
      <c r="BT99" s="152">
        <f>BW98</f>
        <v/>
      </c>
      <c r="BU99" s="159">
        <f>IF(BT99&gt;0.005,BT99*Debts!D25/12,0)</f>
        <v/>
      </c>
      <c r="BV99" s="159" t="n">
        <v>0</v>
      </c>
      <c r="BW99" s="152">
        <f>MAX(0,BT99+BU99-BV99)</f>
        <v/>
      </c>
      <c r="BX99" s="152">
        <f>CA98</f>
        <v/>
      </c>
      <c r="BY99" s="159">
        <f>IF(BX99&gt;0.005,BX99*Debts!D26/12,0)</f>
        <v/>
      </c>
      <c r="BZ99" s="159" t="n">
        <v>0</v>
      </c>
      <c r="CA99" s="152">
        <f>MAX(0,BX99+BY99-BZ99)</f>
        <v/>
      </c>
      <c r="CB99" s="152">
        <f>CE98</f>
        <v/>
      </c>
      <c r="CC99" s="159">
        <f>IF(CB99&gt;0.005,CB99*Debts!D27/12,0)</f>
        <v/>
      </c>
      <c r="CD99" s="159" t="n">
        <v>0</v>
      </c>
      <c r="CE99" s="152">
        <f>MAX(0,CB99+CC99-CD99)</f>
        <v/>
      </c>
      <c r="CF99" s="152">
        <f>G99+K99+O99+S99+W99+AA99+AE99+AI99+AM99+AQ99+AU99+AY99+BC99+BG99+BK99+BO99+BS99+BW99+CA99+CE99</f>
        <v/>
      </c>
      <c r="CG99" s="159">
        <f>E99+I99+M99+Q99+U99+Y99+AC99+AG99+AK99+AO99+AS99+AW99+BA99+BE99+BI99+BM99+BQ99+BU99+BY99+CC99</f>
        <v/>
      </c>
      <c r="CH99" s="152">
        <f>CH98+CG99</f>
        <v/>
      </c>
      <c r="CI99" s="148" t="n"/>
      <c r="CJ99" s="148" t="n"/>
    </row>
    <row r="100" ht="15" customHeight="1" s="83">
      <c r="A100" s="148" t="n"/>
      <c r="B100" s="158" t="n">
        <v>96</v>
      </c>
      <c r="C100" s="152">
        <f>F100+J100+N100+R100+V100+Z100+AD100+AH100+AL100+AP100+AT100+AX100+BB100+BF100+BJ100+BN100+BR100+BV100+BZ100+CD100</f>
        <v/>
      </c>
      <c r="D100" s="152">
        <f>G99</f>
        <v/>
      </c>
      <c r="E100" s="159">
        <f>IF(D100&gt;0.005,D100*Debts!D8/12,0)</f>
        <v/>
      </c>
      <c r="F100" s="159" t="n">
        <v>0</v>
      </c>
      <c r="G100" s="152">
        <f>MAX(0,D100+E100-F100)</f>
        <v/>
      </c>
      <c r="H100" s="152">
        <f>K99</f>
        <v/>
      </c>
      <c r="I100" s="159">
        <f>IF(H100&gt;0.005,H100*Debts!D9/12,0)</f>
        <v/>
      </c>
      <c r="J100" s="159" t="n">
        <v>0</v>
      </c>
      <c r="K100" s="152">
        <f>MAX(0,H100+I100-J100)</f>
        <v/>
      </c>
      <c r="L100" s="152">
        <f>O99</f>
        <v/>
      </c>
      <c r="M100" s="159">
        <f>IF(L100&gt;0.005,L100*Debts!D10/12,0)</f>
        <v/>
      </c>
      <c r="N100" s="159" t="n">
        <v>0</v>
      </c>
      <c r="O100" s="152">
        <f>MAX(0,L100+M100-N100)</f>
        <v/>
      </c>
      <c r="P100" s="152">
        <f>S99</f>
        <v/>
      </c>
      <c r="Q100" s="159">
        <f>IF(P100&gt;0.005,P100*Debts!D11/12,0)</f>
        <v/>
      </c>
      <c r="R100" s="159" t="n">
        <v>0</v>
      </c>
      <c r="S100" s="152">
        <f>MAX(0,P100+Q100-R100)</f>
        <v/>
      </c>
      <c r="T100" s="152">
        <f>W99</f>
        <v/>
      </c>
      <c r="U100" s="159">
        <f>IF(T100&gt;0.005,T100*Debts!D12/12,0)</f>
        <v/>
      </c>
      <c r="V100" s="159" t="n">
        <v>0</v>
      </c>
      <c r="W100" s="152">
        <f>MAX(0,T100+U100-V100)</f>
        <v/>
      </c>
      <c r="X100" s="152">
        <f>AA99</f>
        <v/>
      </c>
      <c r="Y100" s="159">
        <f>IF(X100&gt;0.005,X100*Debts!D13/12,0)</f>
        <v/>
      </c>
      <c r="Z100" s="159" t="n">
        <v>0</v>
      </c>
      <c r="AA100" s="152">
        <f>MAX(0,X100+Y100-Z100)</f>
        <v/>
      </c>
      <c r="AB100" s="152">
        <f>AE99</f>
        <v/>
      </c>
      <c r="AC100" s="159">
        <f>IF(AB100&gt;0.005,AB100*Debts!D14/12,0)</f>
        <v/>
      </c>
      <c r="AD100" s="159" t="n">
        <v>0</v>
      </c>
      <c r="AE100" s="152">
        <f>MAX(0,AB100+AC100-AD100)</f>
        <v/>
      </c>
      <c r="AF100" s="152">
        <f>AI99</f>
        <v/>
      </c>
      <c r="AG100" s="159">
        <f>IF(AF100&gt;0.005,AF100*Debts!D15/12,0)</f>
        <v/>
      </c>
      <c r="AH100" s="159" t="n">
        <v>0</v>
      </c>
      <c r="AI100" s="152">
        <f>MAX(0,AF100+AG100-AH100)</f>
        <v/>
      </c>
      <c r="AJ100" s="152">
        <f>AM99</f>
        <v/>
      </c>
      <c r="AK100" s="159">
        <f>IF(AJ100&gt;0.005,AJ100*Debts!D16/12,0)</f>
        <v/>
      </c>
      <c r="AL100" s="159" t="n">
        <v>0</v>
      </c>
      <c r="AM100" s="152">
        <f>MAX(0,AJ100+AK100-AL100)</f>
        <v/>
      </c>
      <c r="AN100" s="152">
        <f>AQ99</f>
        <v/>
      </c>
      <c r="AO100" s="159">
        <f>IF(AN100&gt;0.005,AN100*Debts!D17/12,0)</f>
        <v/>
      </c>
      <c r="AP100" s="159" t="n">
        <v>0</v>
      </c>
      <c r="AQ100" s="152">
        <f>MAX(0,AN100+AO100-AP100)</f>
        <v/>
      </c>
      <c r="AR100" s="152">
        <f>AU99</f>
        <v/>
      </c>
      <c r="AS100" s="159">
        <f>IF(AR100&gt;0.005,AR100*Debts!D18/12,0)</f>
        <v/>
      </c>
      <c r="AT100" s="159" t="n">
        <v>0</v>
      </c>
      <c r="AU100" s="152">
        <f>MAX(0,AR100+AS100-AT100)</f>
        <v/>
      </c>
      <c r="AV100" s="152">
        <f>AY99</f>
        <v/>
      </c>
      <c r="AW100" s="159">
        <f>IF(AV100&gt;0.005,AV100*Debts!D19/12,0)</f>
        <v/>
      </c>
      <c r="AX100" s="159" t="n">
        <v>0</v>
      </c>
      <c r="AY100" s="152">
        <f>MAX(0,AV100+AW100-AX100)</f>
        <v/>
      </c>
      <c r="AZ100" s="152">
        <f>BC99</f>
        <v/>
      </c>
      <c r="BA100" s="159">
        <f>IF(AZ100&gt;0.005,AZ100*Debts!D20/12,0)</f>
        <v/>
      </c>
      <c r="BB100" s="159" t="n">
        <v>0</v>
      </c>
      <c r="BC100" s="152">
        <f>MAX(0,AZ100+BA100-BB100)</f>
        <v/>
      </c>
      <c r="BD100" s="152">
        <f>BG99</f>
        <v/>
      </c>
      <c r="BE100" s="159">
        <f>IF(BD100&gt;0.005,BD100*Debts!D21/12,0)</f>
        <v/>
      </c>
      <c r="BF100" s="159" t="n">
        <v>0</v>
      </c>
      <c r="BG100" s="152">
        <f>MAX(0,BD100+BE100-BF100)</f>
        <v/>
      </c>
      <c r="BH100" s="152">
        <f>BK99</f>
        <v/>
      </c>
      <c r="BI100" s="159">
        <f>IF(BH100&gt;0.005,BH100*Debts!D22/12,0)</f>
        <v/>
      </c>
      <c r="BJ100" s="159" t="n">
        <v>0</v>
      </c>
      <c r="BK100" s="152">
        <f>MAX(0,BH100+BI100-BJ100)</f>
        <v/>
      </c>
      <c r="BL100" s="152">
        <f>BO99</f>
        <v/>
      </c>
      <c r="BM100" s="159">
        <f>IF(BL100&gt;0.005,BL100*Debts!D23/12,0)</f>
        <v/>
      </c>
      <c r="BN100" s="159" t="n">
        <v>0</v>
      </c>
      <c r="BO100" s="152">
        <f>MAX(0,BL100+BM100-BN100)</f>
        <v/>
      </c>
      <c r="BP100" s="152">
        <f>BS99</f>
        <v/>
      </c>
      <c r="BQ100" s="159">
        <f>IF(BP100&gt;0.005,BP100*Debts!D24/12,0)</f>
        <v/>
      </c>
      <c r="BR100" s="159" t="n">
        <v>0</v>
      </c>
      <c r="BS100" s="152">
        <f>MAX(0,BP100+BQ100-BR100)</f>
        <v/>
      </c>
      <c r="BT100" s="152">
        <f>BW99</f>
        <v/>
      </c>
      <c r="BU100" s="159">
        <f>IF(BT100&gt;0.005,BT100*Debts!D25/12,0)</f>
        <v/>
      </c>
      <c r="BV100" s="159" t="n">
        <v>0</v>
      </c>
      <c r="BW100" s="152">
        <f>MAX(0,BT100+BU100-BV100)</f>
        <v/>
      </c>
      <c r="BX100" s="152">
        <f>CA99</f>
        <v/>
      </c>
      <c r="BY100" s="159">
        <f>IF(BX100&gt;0.005,BX100*Debts!D26/12,0)</f>
        <v/>
      </c>
      <c r="BZ100" s="159" t="n">
        <v>0</v>
      </c>
      <c r="CA100" s="152">
        <f>MAX(0,BX100+BY100-BZ100)</f>
        <v/>
      </c>
      <c r="CB100" s="152">
        <f>CE99</f>
        <v/>
      </c>
      <c r="CC100" s="159">
        <f>IF(CB100&gt;0.005,CB100*Debts!D27/12,0)</f>
        <v/>
      </c>
      <c r="CD100" s="159" t="n">
        <v>0</v>
      </c>
      <c r="CE100" s="152">
        <f>MAX(0,CB100+CC100-CD100)</f>
        <v/>
      </c>
      <c r="CF100" s="152">
        <f>G100+K100+O100+S100+W100+AA100+AE100+AI100+AM100+AQ100+AU100+AY100+BC100+BG100+BK100+BO100+BS100+BW100+CA100+CE100</f>
        <v/>
      </c>
      <c r="CG100" s="159">
        <f>E100+I100+M100+Q100+U100+Y100+AC100+AG100+AK100+AO100+AS100+AW100+BA100+BE100+BI100+BM100+BQ100+BU100+BY100+CC100</f>
        <v/>
      </c>
      <c r="CH100" s="152">
        <f>CH99+CG100</f>
        <v/>
      </c>
      <c r="CI100" s="148" t="n"/>
      <c r="CJ100" s="148" t="n"/>
    </row>
    <row r="101" ht="15" customHeight="1" s="83">
      <c r="A101" s="148" t="n"/>
      <c r="B101" s="158" t="n">
        <v>97</v>
      </c>
      <c r="C101" s="152">
        <f>F101+J101+N101+R101+V101+Z101+AD101+AH101+AL101+AP101+AT101+AX101+BB101+BF101+BJ101+BN101+BR101+BV101+BZ101+CD101</f>
        <v/>
      </c>
      <c r="D101" s="152">
        <f>G100</f>
        <v/>
      </c>
      <c r="E101" s="159">
        <f>IF(D101&gt;0.005,D101*Debts!D8/12,0)</f>
        <v/>
      </c>
      <c r="F101" s="159" t="n">
        <v>0</v>
      </c>
      <c r="G101" s="152">
        <f>MAX(0,D101+E101-F101)</f>
        <v/>
      </c>
      <c r="H101" s="152">
        <f>K100</f>
        <v/>
      </c>
      <c r="I101" s="159">
        <f>IF(H101&gt;0.005,H101*Debts!D9/12,0)</f>
        <v/>
      </c>
      <c r="J101" s="159" t="n">
        <v>0</v>
      </c>
      <c r="K101" s="152">
        <f>MAX(0,H101+I101-J101)</f>
        <v/>
      </c>
      <c r="L101" s="152">
        <f>O100</f>
        <v/>
      </c>
      <c r="M101" s="159">
        <f>IF(L101&gt;0.005,L101*Debts!D10/12,0)</f>
        <v/>
      </c>
      <c r="N101" s="159" t="n">
        <v>0</v>
      </c>
      <c r="O101" s="152">
        <f>MAX(0,L101+M101-N101)</f>
        <v/>
      </c>
      <c r="P101" s="152">
        <f>S100</f>
        <v/>
      </c>
      <c r="Q101" s="159">
        <f>IF(P101&gt;0.005,P101*Debts!D11/12,0)</f>
        <v/>
      </c>
      <c r="R101" s="159" t="n">
        <v>0</v>
      </c>
      <c r="S101" s="152">
        <f>MAX(0,P101+Q101-R101)</f>
        <v/>
      </c>
      <c r="T101" s="152">
        <f>W100</f>
        <v/>
      </c>
      <c r="U101" s="159">
        <f>IF(T101&gt;0.005,T101*Debts!D12/12,0)</f>
        <v/>
      </c>
      <c r="V101" s="159" t="n">
        <v>0</v>
      </c>
      <c r="W101" s="152">
        <f>MAX(0,T101+U101-V101)</f>
        <v/>
      </c>
      <c r="X101" s="152">
        <f>AA100</f>
        <v/>
      </c>
      <c r="Y101" s="159">
        <f>IF(X101&gt;0.005,X101*Debts!D13/12,0)</f>
        <v/>
      </c>
      <c r="Z101" s="159" t="n">
        <v>0</v>
      </c>
      <c r="AA101" s="152">
        <f>MAX(0,X101+Y101-Z101)</f>
        <v/>
      </c>
      <c r="AB101" s="152">
        <f>AE100</f>
        <v/>
      </c>
      <c r="AC101" s="159">
        <f>IF(AB101&gt;0.005,AB101*Debts!D14/12,0)</f>
        <v/>
      </c>
      <c r="AD101" s="159" t="n">
        <v>0</v>
      </c>
      <c r="AE101" s="152">
        <f>MAX(0,AB101+AC101-AD101)</f>
        <v/>
      </c>
      <c r="AF101" s="152">
        <f>AI100</f>
        <v/>
      </c>
      <c r="AG101" s="159">
        <f>IF(AF101&gt;0.005,AF101*Debts!D15/12,0)</f>
        <v/>
      </c>
      <c r="AH101" s="159" t="n">
        <v>0</v>
      </c>
      <c r="AI101" s="152">
        <f>MAX(0,AF101+AG101-AH101)</f>
        <v/>
      </c>
      <c r="AJ101" s="152">
        <f>AM100</f>
        <v/>
      </c>
      <c r="AK101" s="159">
        <f>IF(AJ101&gt;0.005,AJ101*Debts!D16/12,0)</f>
        <v/>
      </c>
      <c r="AL101" s="159" t="n">
        <v>0</v>
      </c>
      <c r="AM101" s="152">
        <f>MAX(0,AJ101+AK101-AL101)</f>
        <v/>
      </c>
      <c r="AN101" s="152">
        <f>AQ100</f>
        <v/>
      </c>
      <c r="AO101" s="159">
        <f>IF(AN101&gt;0.005,AN101*Debts!D17/12,0)</f>
        <v/>
      </c>
      <c r="AP101" s="159" t="n">
        <v>0</v>
      </c>
      <c r="AQ101" s="152">
        <f>MAX(0,AN101+AO101-AP101)</f>
        <v/>
      </c>
      <c r="AR101" s="152">
        <f>AU100</f>
        <v/>
      </c>
      <c r="AS101" s="159">
        <f>IF(AR101&gt;0.005,AR101*Debts!D18/12,0)</f>
        <v/>
      </c>
      <c r="AT101" s="159" t="n">
        <v>0</v>
      </c>
      <c r="AU101" s="152">
        <f>MAX(0,AR101+AS101-AT101)</f>
        <v/>
      </c>
      <c r="AV101" s="152">
        <f>AY100</f>
        <v/>
      </c>
      <c r="AW101" s="159">
        <f>IF(AV101&gt;0.005,AV101*Debts!D19/12,0)</f>
        <v/>
      </c>
      <c r="AX101" s="159" t="n">
        <v>0</v>
      </c>
      <c r="AY101" s="152">
        <f>MAX(0,AV101+AW101-AX101)</f>
        <v/>
      </c>
      <c r="AZ101" s="152">
        <f>BC100</f>
        <v/>
      </c>
      <c r="BA101" s="159">
        <f>IF(AZ101&gt;0.005,AZ101*Debts!D20/12,0)</f>
        <v/>
      </c>
      <c r="BB101" s="159" t="n">
        <v>0</v>
      </c>
      <c r="BC101" s="152">
        <f>MAX(0,AZ101+BA101-BB101)</f>
        <v/>
      </c>
      <c r="BD101" s="152">
        <f>BG100</f>
        <v/>
      </c>
      <c r="BE101" s="159">
        <f>IF(BD101&gt;0.005,BD101*Debts!D21/12,0)</f>
        <v/>
      </c>
      <c r="BF101" s="159" t="n">
        <v>0</v>
      </c>
      <c r="BG101" s="152">
        <f>MAX(0,BD101+BE101-BF101)</f>
        <v/>
      </c>
      <c r="BH101" s="152">
        <f>BK100</f>
        <v/>
      </c>
      <c r="BI101" s="159">
        <f>IF(BH101&gt;0.005,BH101*Debts!D22/12,0)</f>
        <v/>
      </c>
      <c r="BJ101" s="159" t="n">
        <v>0</v>
      </c>
      <c r="BK101" s="152">
        <f>MAX(0,BH101+BI101-BJ101)</f>
        <v/>
      </c>
      <c r="BL101" s="152">
        <f>BO100</f>
        <v/>
      </c>
      <c r="BM101" s="159">
        <f>IF(BL101&gt;0.005,BL101*Debts!D23/12,0)</f>
        <v/>
      </c>
      <c r="BN101" s="159" t="n">
        <v>0</v>
      </c>
      <c r="BO101" s="152">
        <f>MAX(0,BL101+BM101-BN101)</f>
        <v/>
      </c>
      <c r="BP101" s="152">
        <f>BS100</f>
        <v/>
      </c>
      <c r="BQ101" s="159">
        <f>IF(BP101&gt;0.005,BP101*Debts!D24/12,0)</f>
        <v/>
      </c>
      <c r="BR101" s="159" t="n">
        <v>0</v>
      </c>
      <c r="BS101" s="152">
        <f>MAX(0,BP101+BQ101-BR101)</f>
        <v/>
      </c>
      <c r="BT101" s="152">
        <f>BW100</f>
        <v/>
      </c>
      <c r="BU101" s="159">
        <f>IF(BT101&gt;0.005,BT101*Debts!D25/12,0)</f>
        <v/>
      </c>
      <c r="BV101" s="159" t="n">
        <v>0</v>
      </c>
      <c r="BW101" s="152">
        <f>MAX(0,BT101+BU101-BV101)</f>
        <v/>
      </c>
      <c r="BX101" s="152">
        <f>CA100</f>
        <v/>
      </c>
      <c r="BY101" s="159">
        <f>IF(BX101&gt;0.005,BX101*Debts!D26/12,0)</f>
        <v/>
      </c>
      <c r="BZ101" s="159" t="n">
        <v>0</v>
      </c>
      <c r="CA101" s="152">
        <f>MAX(0,BX101+BY101-BZ101)</f>
        <v/>
      </c>
      <c r="CB101" s="152">
        <f>CE100</f>
        <v/>
      </c>
      <c r="CC101" s="159">
        <f>IF(CB101&gt;0.005,CB101*Debts!D27/12,0)</f>
        <v/>
      </c>
      <c r="CD101" s="159" t="n">
        <v>0</v>
      </c>
      <c r="CE101" s="152">
        <f>MAX(0,CB101+CC101-CD101)</f>
        <v/>
      </c>
      <c r="CF101" s="152">
        <f>G101+K101+O101+S101+W101+AA101+AE101+AI101+AM101+AQ101+AU101+AY101+BC101+BG101+BK101+BO101+BS101+BW101+CA101+CE101</f>
        <v/>
      </c>
      <c r="CG101" s="159">
        <f>E101+I101+M101+Q101+U101+Y101+AC101+AG101+AK101+AO101+AS101+AW101+BA101+BE101+BI101+BM101+BQ101+BU101+BY101+CC101</f>
        <v/>
      </c>
      <c r="CH101" s="152">
        <f>CH100+CG101</f>
        <v/>
      </c>
      <c r="CI101" s="148" t="n"/>
      <c r="CJ101" s="148" t="n"/>
    </row>
    <row r="102" ht="15" customHeight="1" s="83">
      <c r="A102" s="148" t="n"/>
      <c r="B102" s="158" t="n">
        <v>98</v>
      </c>
      <c r="C102" s="152">
        <f>F102+J102+N102+R102+V102+Z102+AD102+AH102+AL102+AP102+AT102+AX102+BB102+BF102+BJ102+BN102+BR102+BV102+BZ102+CD102</f>
        <v/>
      </c>
      <c r="D102" s="152">
        <f>G101</f>
        <v/>
      </c>
      <c r="E102" s="159">
        <f>IF(D102&gt;0.005,D102*Debts!D8/12,0)</f>
        <v/>
      </c>
      <c r="F102" s="159" t="n">
        <v>0</v>
      </c>
      <c r="G102" s="152">
        <f>MAX(0,D102+E102-F102)</f>
        <v/>
      </c>
      <c r="H102" s="152">
        <f>K101</f>
        <v/>
      </c>
      <c r="I102" s="159">
        <f>IF(H102&gt;0.005,H102*Debts!D9/12,0)</f>
        <v/>
      </c>
      <c r="J102" s="159" t="n">
        <v>0</v>
      </c>
      <c r="K102" s="152">
        <f>MAX(0,H102+I102-J102)</f>
        <v/>
      </c>
      <c r="L102" s="152">
        <f>O101</f>
        <v/>
      </c>
      <c r="M102" s="159">
        <f>IF(L102&gt;0.005,L102*Debts!D10/12,0)</f>
        <v/>
      </c>
      <c r="N102" s="159" t="n">
        <v>0</v>
      </c>
      <c r="O102" s="152">
        <f>MAX(0,L102+M102-N102)</f>
        <v/>
      </c>
      <c r="P102" s="152">
        <f>S101</f>
        <v/>
      </c>
      <c r="Q102" s="159">
        <f>IF(P102&gt;0.005,P102*Debts!D11/12,0)</f>
        <v/>
      </c>
      <c r="R102" s="159" t="n">
        <v>0</v>
      </c>
      <c r="S102" s="152">
        <f>MAX(0,P102+Q102-R102)</f>
        <v/>
      </c>
      <c r="T102" s="152">
        <f>W101</f>
        <v/>
      </c>
      <c r="U102" s="159">
        <f>IF(T102&gt;0.005,T102*Debts!D12/12,0)</f>
        <v/>
      </c>
      <c r="V102" s="159" t="n">
        <v>0</v>
      </c>
      <c r="W102" s="152">
        <f>MAX(0,T102+U102-V102)</f>
        <v/>
      </c>
      <c r="X102" s="152">
        <f>AA101</f>
        <v/>
      </c>
      <c r="Y102" s="159">
        <f>IF(X102&gt;0.005,X102*Debts!D13/12,0)</f>
        <v/>
      </c>
      <c r="Z102" s="159" t="n">
        <v>0</v>
      </c>
      <c r="AA102" s="152">
        <f>MAX(0,X102+Y102-Z102)</f>
        <v/>
      </c>
      <c r="AB102" s="152">
        <f>AE101</f>
        <v/>
      </c>
      <c r="AC102" s="159">
        <f>IF(AB102&gt;0.005,AB102*Debts!D14/12,0)</f>
        <v/>
      </c>
      <c r="AD102" s="159" t="n">
        <v>0</v>
      </c>
      <c r="AE102" s="152">
        <f>MAX(0,AB102+AC102-AD102)</f>
        <v/>
      </c>
      <c r="AF102" s="152">
        <f>AI101</f>
        <v/>
      </c>
      <c r="AG102" s="159">
        <f>IF(AF102&gt;0.005,AF102*Debts!D15/12,0)</f>
        <v/>
      </c>
      <c r="AH102" s="159" t="n">
        <v>0</v>
      </c>
      <c r="AI102" s="152">
        <f>MAX(0,AF102+AG102-AH102)</f>
        <v/>
      </c>
      <c r="AJ102" s="152">
        <f>AM101</f>
        <v/>
      </c>
      <c r="AK102" s="159">
        <f>IF(AJ102&gt;0.005,AJ102*Debts!D16/12,0)</f>
        <v/>
      </c>
      <c r="AL102" s="159" t="n">
        <v>0</v>
      </c>
      <c r="AM102" s="152">
        <f>MAX(0,AJ102+AK102-AL102)</f>
        <v/>
      </c>
      <c r="AN102" s="152">
        <f>AQ101</f>
        <v/>
      </c>
      <c r="AO102" s="159">
        <f>IF(AN102&gt;0.005,AN102*Debts!D17/12,0)</f>
        <v/>
      </c>
      <c r="AP102" s="159" t="n">
        <v>0</v>
      </c>
      <c r="AQ102" s="152">
        <f>MAX(0,AN102+AO102-AP102)</f>
        <v/>
      </c>
      <c r="AR102" s="152">
        <f>AU101</f>
        <v/>
      </c>
      <c r="AS102" s="159">
        <f>IF(AR102&gt;0.005,AR102*Debts!D18/12,0)</f>
        <v/>
      </c>
      <c r="AT102" s="159" t="n">
        <v>0</v>
      </c>
      <c r="AU102" s="152">
        <f>MAX(0,AR102+AS102-AT102)</f>
        <v/>
      </c>
      <c r="AV102" s="152">
        <f>AY101</f>
        <v/>
      </c>
      <c r="AW102" s="159">
        <f>IF(AV102&gt;0.005,AV102*Debts!D19/12,0)</f>
        <v/>
      </c>
      <c r="AX102" s="159" t="n">
        <v>0</v>
      </c>
      <c r="AY102" s="152">
        <f>MAX(0,AV102+AW102-AX102)</f>
        <v/>
      </c>
      <c r="AZ102" s="152">
        <f>BC101</f>
        <v/>
      </c>
      <c r="BA102" s="159">
        <f>IF(AZ102&gt;0.005,AZ102*Debts!D20/12,0)</f>
        <v/>
      </c>
      <c r="BB102" s="159" t="n">
        <v>0</v>
      </c>
      <c r="BC102" s="152">
        <f>MAX(0,AZ102+BA102-BB102)</f>
        <v/>
      </c>
      <c r="BD102" s="152">
        <f>BG101</f>
        <v/>
      </c>
      <c r="BE102" s="159">
        <f>IF(BD102&gt;0.005,BD102*Debts!D21/12,0)</f>
        <v/>
      </c>
      <c r="BF102" s="159" t="n">
        <v>0</v>
      </c>
      <c r="BG102" s="152">
        <f>MAX(0,BD102+BE102-BF102)</f>
        <v/>
      </c>
      <c r="BH102" s="152">
        <f>BK101</f>
        <v/>
      </c>
      <c r="BI102" s="159">
        <f>IF(BH102&gt;0.005,BH102*Debts!D22/12,0)</f>
        <v/>
      </c>
      <c r="BJ102" s="159" t="n">
        <v>0</v>
      </c>
      <c r="BK102" s="152">
        <f>MAX(0,BH102+BI102-BJ102)</f>
        <v/>
      </c>
      <c r="BL102" s="152">
        <f>BO101</f>
        <v/>
      </c>
      <c r="BM102" s="159">
        <f>IF(BL102&gt;0.005,BL102*Debts!D23/12,0)</f>
        <v/>
      </c>
      <c r="BN102" s="159" t="n">
        <v>0</v>
      </c>
      <c r="BO102" s="152">
        <f>MAX(0,BL102+BM102-BN102)</f>
        <v/>
      </c>
      <c r="BP102" s="152">
        <f>BS101</f>
        <v/>
      </c>
      <c r="BQ102" s="159">
        <f>IF(BP102&gt;0.005,BP102*Debts!D24/12,0)</f>
        <v/>
      </c>
      <c r="BR102" s="159" t="n">
        <v>0</v>
      </c>
      <c r="BS102" s="152">
        <f>MAX(0,BP102+BQ102-BR102)</f>
        <v/>
      </c>
      <c r="BT102" s="152">
        <f>BW101</f>
        <v/>
      </c>
      <c r="BU102" s="159">
        <f>IF(BT102&gt;0.005,BT102*Debts!D25/12,0)</f>
        <v/>
      </c>
      <c r="BV102" s="159" t="n">
        <v>0</v>
      </c>
      <c r="BW102" s="152">
        <f>MAX(0,BT102+BU102-BV102)</f>
        <v/>
      </c>
      <c r="BX102" s="152">
        <f>CA101</f>
        <v/>
      </c>
      <c r="BY102" s="159">
        <f>IF(BX102&gt;0.005,BX102*Debts!D26/12,0)</f>
        <v/>
      </c>
      <c r="BZ102" s="159" t="n">
        <v>0</v>
      </c>
      <c r="CA102" s="152">
        <f>MAX(0,BX102+BY102-BZ102)</f>
        <v/>
      </c>
      <c r="CB102" s="152">
        <f>CE101</f>
        <v/>
      </c>
      <c r="CC102" s="159">
        <f>IF(CB102&gt;0.005,CB102*Debts!D27/12,0)</f>
        <v/>
      </c>
      <c r="CD102" s="159" t="n">
        <v>0</v>
      </c>
      <c r="CE102" s="152">
        <f>MAX(0,CB102+CC102-CD102)</f>
        <v/>
      </c>
      <c r="CF102" s="152">
        <f>G102+K102+O102+S102+W102+AA102+AE102+AI102+AM102+AQ102+AU102+AY102+BC102+BG102+BK102+BO102+BS102+BW102+CA102+CE102</f>
        <v/>
      </c>
      <c r="CG102" s="159">
        <f>E102+I102+M102+Q102+U102+Y102+AC102+AG102+AK102+AO102+AS102+AW102+BA102+BE102+BI102+BM102+BQ102+BU102+BY102+CC102</f>
        <v/>
      </c>
      <c r="CH102" s="152">
        <f>CH101+CG102</f>
        <v/>
      </c>
      <c r="CI102" s="148" t="n"/>
      <c r="CJ102" s="148" t="n"/>
    </row>
    <row r="103" ht="15" customHeight="1" s="83">
      <c r="A103" s="148" t="n"/>
      <c r="B103" s="158" t="n">
        <v>99</v>
      </c>
      <c r="C103" s="152">
        <f>F103+J103+N103+R103+V103+Z103+AD103+AH103+AL103+AP103+AT103+AX103+BB103+BF103+BJ103+BN103+BR103+BV103+BZ103+CD103</f>
        <v/>
      </c>
      <c r="D103" s="152">
        <f>G102</f>
        <v/>
      </c>
      <c r="E103" s="159">
        <f>IF(D103&gt;0.005,D103*Debts!D8/12,0)</f>
        <v/>
      </c>
      <c r="F103" s="159" t="n">
        <v>0</v>
      </c>
      <c r="G103" s="152">
        <f>MAX(0,D103+E103-F103)</f>
        <v/>
      </c>
      <c r="H103" s="152">
        <f>K102</f>
        <v/>
      </c>
      <c r="I103" s="159">
        <f>IF(H103&gt;0.005,H103*Debts!D9/12,0)</f>
        <v/>
      </c>
      <c r="J103" s="159" t="n">
        <v>0</v>
      </c>
      <c r="K103" s="152">
        <f>MAX(0,H103+I103-J103)</f>
        <v/>
      </c>
      <c r="L103" s="152">
        <f>O102</f>
        <v/>
      </c>
      <c r="M103" s="159">
        <f>IF(L103&gt;0.005,L103*Debts!D10/12,0)</f>
        <v/>
      </c>
      <c r="N103" s="159" t="n">
        <v>0</v>
      </c>
      <c r="O103" s="152">
        <f>MAX(0,L103+M103-N103)</f>
        <v/>
      </c>
      <c r="P103" s="152">
        <f>S102</f>
        <v/>
      </c>
      <c r="Q103" s="159">
        <f>IF(P103&gt;0.005,P103*Debts!D11/12,0)</f>
        <v/>
      </c>
      <c r="R103" s="159" t="n">
        <v>0</v>
      </c>
      <c r="S103" s="152">
        <f>MAX(0,P103+Q103-R103)</f>
        <v/>
      </c>
      <c r="T103" s="152">
        <f>W102</f>
        <v/>
      </c>
      <c r="U103" s="159">
        <f>IF(T103&gt;0.005,T103*Debts!D12/12,0)</f>
        <v/>
      </c>
      <c r="V103" s="159" t="n">
        <v>0</v>
      </c>
      <c r="W103" s="152">
        <f>MAX(0,T103+U103-V103)</f>
        <v/>
      </c>
      <c r="X103" s="152">
        <f>AA102</f>
        <v/>
      </c>
      <c r="Y103" s="159">
        <f>IF(X103&gt;0.005,X103*Debts!D13/12,0)</f>
        <v/>
      </c>
      <c r="Z103" s="159" t="n">
        <v>0</v>
      </c>
      <c r="AA103" s="152">
        <f>MAX(0,X103+Y103-Z103)</f>
        <v/>
      </c>
      <c r="AB103" s="152">
        <f>AE102</f>
        <v/>
      </c>
      <c r="AC103" s="159">
        <f>IF(AB103&gt;0.005,AB103*Debts!D14/12,0)</f>
        <v/>
      </c>
      <c r="AD103" s="159" t="n">
        <v>0</v>
      </c>
      <c r="AE103" s="152">
        <f>MAX(0,AB103+AC103-AD103)</f>
        <v/>
      </c>
      <c r="AF103" s="152">
        <f>AI102</f>
        <v/>
      </c>
      <c r="AG103" s="159">
        <f>IF(AF103&gt;0.005,AF103*Debts!D15/12,0)</f>
        <v/>
      </c>
      <c r="AH103" s="159" t="n">
        <v>0</v>
      </c>
      <c r="AI103" s="152">
        <f>MAX(0,AF103+AG103-AH103)</f>
        <v/>
      </c>
      <c r="AJ103" s="152">
        <f>AM102</f>
        <v/>
      </c>
      <c r="AK103" s="159">
        <f>IF(AJ103&gt;0.005,AJ103*Debts!D16/12,0)</f>
        <v/>
      </c>
      <c r="AL103" s="159" t="n">
        <v>0</v>
      </c>
      <c r="AM103" s="152">
        <f>MAX(0,AJ103+AK103-AL103)</f>
        <v/>
      </c>
      <c r="AN103" s="152">
        <f>AQ102</f>
        <v/>
      </c>
      <c r="AO103" s="159">
        <f>IF(AN103&gt;0.005,AN103*Debts!D17/12,0)</f>
        <v/>
      </c>
      <c r="AP103" s="159" t="n">
        <v>0</v>
      </c>
      <c r="AQ103" s="152">
        <f>MAX(0,AN103+AO103-AP103)</f>
        <v/>
      </c>
      <c r="AR103" s="152">
        <f>AU102</f>
        <v/>
      </c>
      <c r="AS103" s="159">
        <f>IF(AR103&gt;0.005,AR103*Debts!D18/12,0)</f>
        <v/>
      </c>
      <c r="AT103" s="159" t="n">
        <v>0</v>
      </c>
      <c r="AU103" s="152">
        <f>MAX(0,AR103+AS103-AT103)</f>
        <v/>
      </c>
      <c r="AV103" s="152">
        <f>AY102</f>
        <v/>
      </c>
      <c r="AW103" s="159">
        <f>IF(AV103&gt;0.005,AV103*Debts!D19/12,0)</f>
        <v/>
      </c>
      <c r="AX103" s="159" t="n">
        <v>0</v>
      </c>
      <c r="AY103" s="152">
        <f>MAX(0,AV103+AW103-AX103)</f>
        <v/>
      </c>
      <c r="AZ103" s="152">
        <f>BC102</f>
        <v/>
      </c>
      <c r="BA103" s="159">
        <f>IF(AZ103&gt;0.005,AZ103*Debts!D20/12,0)</f>
        <v/>
      </c>
      <c r="BB103" s="159" t="n">
        <v>0</v>
      </c>
      <c r="BC103" s="152">
        <f>MAX(0,AZ103+BA103-BB103)</f>
        <v/>
      </c>
      <c r="BD103" s="152">
        <f>BG102</f>
        <v/>
      </c>
      <c r="BE103" s="159">
        <f>IF(BD103&gt;0.005,BD103*Debts!D21/12,0)</f>
        <v/>
      </c>
      <c r="BF103" s="159" t="n">
        <v>0</v>
      </c>
      <c r="BG103" s="152">
        <f>MAX(0,BD103+BE103-BF103)</f>
        <v/>
      </c>
      <c r="BH103" s="152">
        <f>BK102</f>
        <v/>
      </c>
      <c r="BI103" s="159">
        <f>IF(BH103&gt;0.005,BH103*Debts!D22/12,0)</f>
        <v/>
      </c>
      <c r="BJ103" s="159" t="n">
        <v>0</v>
      </c>
      <c r="BK103" s="152">
        <f>MAX(0,BH103+BI103-BJ103)</f>
        <v/>
      </c>
      <c r="BL103" s="152">
        <f>BO102</f>
        <v/>
      </c>
      <c r="BM103" s="159">
        <f>IF(BL103&gt;0.005,BL103*Debts!D23/12,0)</f>
        <v/>
      </c>
      <c r="BN103" s="159" t="n">
        <v>0</v>
      </c>
      <c r="BO103" s="152">
        <f>MAX(0,BL103+BM103-BN103)</f>
        <v/>
      </c>
      <c r="BP103" s="152">
        <f>BS102</f>
        <v/>
      </c>
      <c r="BQ103" s="159">
        <f>IF(BP103&gt;0.005,BP103*Debts!D24/12,0)</f>
        <v/>
      </c>
      <c r="BR103" s="159" t="n">
        <v>0</v>
      </c>
      <c r="BS103" s="152">
        <f>MAX(0,BP103+BQ103-BR103)</f>
        <v/>
      </c>
      <c r="BT103" s="152">
        <f>BW102</f>
        <v/>
      </c>
      <c r="BU103" s="159">
        <f>IF(BT103&gt;0.005,BT103*Debts!D25/12,0)</f>
        <v/>
      </c>
      <c r="BV103" s="159" t="n">
        <v>0</v>
      </c>
      <c r="BW103" s="152">
        <f>MAX(0,BT103+BU103-BV103)</f>
        <v/>
      </c>
      <c r="BX103" s="152">
        <f>CA102</f>
        <v/>
      </c>
      <c r="BY103" s="159">
        <f>IF(BX103&gt;0.005,BX103*Debts!D26/12,0)</f>
        <v/>
      </c>
      <c r="BZ103" s="159" t="n">
        <v>0</v>
      </c>
      <c r="CA103" s="152">
        <f>MAX(0,BX103+BY103-BZ103)</f>
        <v/>
      </c>
      <c r="CB103" s="152">
        <f>CE102</f>
        <v/>
      </c>
      <c r="CC103" s="159">
        <f>IF(CB103&gt;0.005,CB103*Debts!D27/12,0)</f>
        <v/>
      </c>
      <c r="CD103" s="159" t="n">
        <v>0</v>
      </c>
      <c r="CE103" s="152">
        <f>MAX(0,CB103+CC103-CD103)</f>
        <v/>
      </c>
      <c r="CF103" s="152">
        <f>G103+K103+O103+S103+W103+AA103+AE103+AI103+AM103+AQ103+AU103+AY103+BC103+BG103+BK103+BO103+BS103+BW103+CA103+CE103</f>
        <v/>
      </c>
      <c r="CG103" s="159">
        <f>E103+I103+M103+Q103+U103+Y103+AC103+AG103+AK103+AO103+AS103+AW103+BA103+BE103+BI103+BM103+BQ103+BU103+BY103+CC103</f>
        <v/>
      </c>
      <c r="CH103" s="152">
        <f>CH102+CG103</f>
        <v/>
      </c>
      <c r="CI103" s="148" t="n"/>
      <c r="CJ103" s="148" t="n"/>
    </row>
    <row r="104" ht="15" customHeight="1" s="83">
      <c r="A104" s="148" t="n"/>
      <c r="B104" s="158" t="n">
        <v>100</v>
      </c>
      <c r="C104" s="152">
        <f>F104+J104+N104+R104+V104+Z104+AD104+AH104+AL104+AP104+AT104+AX104+BB104+BF104+BJ104+BN104+BR104+BV104+BZ104+CD104</f>
        <v/>
      </c>
      <c r="D104" s="152">
        <f>G103</f>
        <v/>
      </c>
      <c r="E104" s="159">
        <f>IF(D104&gt;0.005,D104*Debts!D8/12,0)</f>
        <v/>
      </c>
      <c r="F104" s="159" t="n">
        <v>0</v>
      </c>
      <c r="G104" s="152">
        <f>MAX(0,D104+E104-F104)</f>
        <v/>
      </c>
      <c r="H104" s="152">
        <f>K103</f>
        <v/>
      </c>
      <c r="I104" s="159">
        <f>IF(H104&gt;0.005,H104*Debts!D9/12,0)</f>
        <v/>
      </c>
      <c r="J104" s="159" t="n">
        <v>0</v>
      </c>
      <c r="K104" s="152">
        <f>MAX(0,H104+I104-J104)</f>
        <v/>
      </c>
      <c r="L104" s="152">
        <f>O103</f>
        <v/>
      </c>
      <c r="M104" s="159">
        <f>IF(L104&gt;0.005,L104*Debts!D10/12,0)</f>
        <v/>
      </c>
      <c r="N104" s="159" t="n">
        <v>0</v>
      </c>
      <c r="O104" s="152">
        <f>MAX(0,L104+M104-N104)</f>
        <v/>
      </c>
      <c r="P104" s="152">
        <f>S103</f>
        <v/>
      </c>
      <c r="Q104" s="159">
        <f>IF(P104&gt;0.005,P104*Debts!D11/12,0)</f>
        <v/>
      </c>
      <c r="R104" s="159" t="n">
        <v>0</v>
      </c>
      <c r="S104" s="152">
        <f>MAX(0,P104+Q104-R104)</f>
        <v/>
      </c>
      <c r="T104" s="152">
        <f>W103</f>
        <v/>
      </c>
      <c r="U104" s="159">
        <f>IF(T104&gt;0.005,T104*Debts!D12/12,0)</f>
        <v/>
      </c>
      <c r="V104" s="159" t="n">
        <v>0</v>
      </c>
      <c r="W104" s="152">
        <f>MAX(0,T104+U104-V104)</f>
        <v/>
      </c>
      <c r="X104" s="152">
        <f>AA103</f>
        <v/>
      </c>
      <c r="Y104" s="159">
        <f>IF(X104&gt;0.005,X104*Debts!D13/12,0)</f>
        <v/>
      </c>
      <c r="Z104" s="159" t="n">
        <v>0</v>
      </c>
      <c r="AA104" s="152">
        <f>MAX(0,X104+Y104-Z104)</f>
        <v/>
      </c>
      <c r="AB104" s="152">
        <f>AE103</f>
        <v/>
      </c>
      <c r="AC104" s="159">
        <f>IF(AB104&gt;0.005,AB104*Debts!D14/12,0)</f>
        <v/>
      </c>
      <c r="AD104" s="159" t="n">
        <v>0</v>
      </c>
      <c r="AE104" s="152">
        <f>MAX(0,AB104+AC104-AD104)</f>
        <v/>
      </c>
      <c r="AF104" s="152">
        <f>AI103</f>
        <v/>
      </c>
      <c r="AG104" s="159">
        <f>IF(AF104&gt;0.005,AF104*Debts!D15/12,0)</f>
        <v/>
      </c>
      <c r="AH104" s="159" t="n">
        <v>0</v>
      </c>
      <c r="AI104" s="152">
        <f>MAX(0,AF104+AG104-AH104)</f>
        <v/>
      </c>
      <c r="AJ104" s="152">
        <f>AM103</f>
        <v/>
      </c>
      <c r="AK104" s="159">
        <f>IF(AJ104&gt;0.005,AJ104*Debts!D16/12,0)</f>
        <v/>
      </c>
      <c r="AL104" s="159" t="n">
        <v>0</v>
      </c>
      <c r="AM104" s="152">
        <f>MAX(0,AJ104+AK104-AL104)</f>
        <v/>
      </c>
      <c r="AN104" s="152">
        <f>AQ103</f>
        <v/>
      </c>
      <c r="AO104" s="159">
        <f>IF(AN104&gt;0.005,AN104*Debts!D17/12,0)</f>
        <v/>
      </c>
      <c r="AP104" s="159" t="n">
        <v>0</v>
      </c>
      <c r="AQ104" s="152">
        <f>MAX(0,AN104+AO104-AP104)</f>
        <v/>
      </c>
      <c r="AR104" s="152">
        <f>AU103</f>
        <v/>
      </c>
      <c r="AS104" s="159">
        <f>IF(AR104&gt;0.005,AR104*Debts!D18/12,0)</f>
        <v/>
      </c>
      <c r="AT104" s="159" t="n">
        <v>0</v>
      </c>
      <c r="AU104" s="152">
        <f>MAX(0,AR104+AS104-AT104)</f>
        <v/>
      </c>
      <c r="AV104" s="152">
        <f>AY103</f>
        <v/>
      </c>
      <c r="AW104" s="159">
        <f>IF(AV104&gt;0.005,AV104*Debts!D19/12,0)</f>
        <v/>
      </c>
      <c r="AX104" s="159" t="n">
        <v>0</v>
      </c>
      <c r="AY104" s="152">
        <f>MAX(0,AV104+AW104-AX104)</f>
        <v/>
      </c>
      <c r="AZ104" s="152">
        <f>BC103</f>
        <v/>
      </c>
      <c r="BA104" s="159">
        <f>IF(AZ104&gt;0.005,AZ104*Debts!D20/12,0)</f>
        <v/>
      </c>
      <c r="BB104" s="159" t="n">
        <v>0</v>
      </c>
      <c r="BC104" s="152">
        <f>MAX(0,AZ104+BA104-BB104)</f>
        <v/>
      </c>
      <c r="BD104" s="152">
        <f>BG103</f>
        <v/>
      </c>
      <c r="BE104" s="159">
        <f>IF(BD104&gt;0.005,BD104*Debts!D21/12,0)</f>
        <v/>
      </c>
      <c r="BF104" s="159" t="n">
        <v>0</v>
      </c>
      <c r="BG104" s="152">
        <f>MAX(0,BD104+BE104-BF104)</f>
        <v/>
      </c>
      <c r="BH104" s="152">
        <f>BK103</f>
        <v/>
      </c>
      <c r="BI104" s="159">
        <f>IF(BH104&gt;0.005,BH104*Debts!D22/12,0)</f>
        <v/>
      </c>
      <c r="BJ104" s="159" t="n">
        <v>0</v>
      </c>
      <c r="BK104" s="152">
        <f>MAX(0,BH104+BI104-BJ104)</f>
        <v/>
      </c>
      <c r="BL104" s="152">
        <f>BO103</f>
        <v/>
      </c>
      <c r="BM104" s="159">
        <f>IF(BL104&gt;0.005,BL104*Debts!D23/12,0)</f>
        <v/>
      </c>
      <c r="BN104" s="159" t="n">
        <v>0</v>
      </c>
      <c r="BO104" s="152">
        <f>MAX(0,BL104+BM104-BN104)</f>
        <v/>
      </c>
      <c r="BP104" s="152">
        <f>BS103</f>
        <v/>
      </c>
      <c r="BQ104" s="159">
        <f>IF(BP104&gt;0.005,BP104*Debts!D24/12,0)</f>
        <v/>
      </c>
      <c r="BR104" s="159" t="n">
        <v>0</v>
      </c>
      <c r="BS104" s="152">
        <f>MAX(0,BP104+BQ104-BR104)</f>
        <v/>
      </c>
      <c r="BT104" s="152">
        <f>BW103</f>
        <v/>
      </c>
      <c r="BU104" s="159">
        <f>IF(BT104&gt;0.005,BT104*Debts!D25/12,0)</f>
        <v/>
      </c>
      <c r="BV104" s="159" t="n">
        <v>0</v>
      </c>
      <c r="BW104" s="152">
        <f>MAX(0,BT104+BU104-BV104)</f>
        <v/>
      </c>
      <c r="BX104" s="152">
        <f>CA103</f>
        <v/>
      </c>
      <c r="BY104" s="159">
        <f>IF(BX104&gt;0.005,BX104*Debts!D26/12,0)</f>
        <v/>
      </c>
      <c r="BZ104" s="159" t="n">
        <v>0</v>
      </c>
      <c r="CA104" s="152">
        <f>MAX(0,BX104+BY104-BZ104)</f>
        <v/>
      </c>
      <c r="CB104" s="152">
        <f>CE103</f>
        <v/>
      </c>
      <c r="CC104" s="159">
        <f>IF(CB104&gt;0.005,CB104*Debts!D27/12,0)</f>
        <v/>
      </c>
      <c r="CD104" s="159" t="n">
        <v>0</v>
      </c>
      <c r="CE104" s="152">
        <f>MAX(0,CB104+CC104-CD104)</f>
        <v/>
      </c>
      <c r="CF104" s="152">
        <f>G104+K104+O104+S104+W104+AA104+AE104+AI104+AM104+AQ104+AU104+AY104+BC104+BG104+BK104+BO104+BS104+BW104+CA104+CE104</f>
        <v/>
      </c>
      <c r="CG104" s="159">
        <f>E104+I104+M104+Q104+U104+Y104+AC104+AG104+AK104+AO104+AS104+AW104+BA104+BE104+BI104+BM104+BQ104+BU104+BY104+CC104</f>
        <v/>
      </c>
      <c r="CH104" s="152">
        <f>CH103+CG104</f>
        <v/>
      </c>
      <c r="CI104" s="148" t="n"/>
      <c r="CJ104" s="148" t="n"/>
    </row>
    <row r="105" ht="15" customHeight="1" s="83">
      <c r="A105" s="148" t="n"/>
      <c r="B105" s="158" t="n">
        <v>101</v>
      </c>
      <c r="C105" s="152">
        <f>F105+J105+N105+R105+V105+Z105+AD105+AH105+AL105+AP105+AT105+AX105+BB105+BF105+BJ105+BN105+BR105+BV105+BZ105+CD105</f>
        <v/>
      </c>
      <c r="D105" s="152">
        <f>G104</f>
        <v/>
      </c>
      <c r="E105" s="159">
        <f>IF(D105&gt;0.005,D105*Debts!D8/12,0)</f>
        <v/>
      </c>
      <c r="F105" s="159" t="n">
        <v>0</v>
      </c>
      <c r="G105" s="152">
        <f>MAX(0,D105+E105-F105)</f>
        <v/>
      </c>
      <c r="H105" s="152">
        <f>K104</f>
        <v/>
      </c>
      <c r="I105" s="159">
        <f>IF(H105&gt;0.005,H105*Debts!D9/12,0)</f>
        <v/>
      </c>
      <c r="J105" s="159" t="n">
        <v>0</v>
      </c>
      <c r="K105" s="152">
        <f>MAX(0,H105+I105-J105)</f>
        <v/>
      </c>
      <c r="L105" s="152">
        <f>O104</f>
        <v/>
      </c>
      <c r="M105" s="159">
        <f>IF(L105&gt;0.005,L105*Debts!D10/12,0)</f>
        <v/>
      </c>
      <c r="N105" s="159" t="n">
        <v>0</v>
      </c>
      <c r="O105" s="152">
        <f>MAX(0,L105+M105-N105)</f>
        <v/>
      </c>
      <c r="P105" s="152">
        <f>S104</f>
        <v/>
      </c>
      <c r="Q105" s="159">
        <f>IF(P105&gt;0.005,P105*Debts!D11/12,0)</f>
        <v/>
      </c>
      <c r="R105" s="159" t="n">
        <v>0</v>
      </c>
      <c r="S105" s="152">
        <f>MAX(0,P105+Q105-R105)</f>
        <v/>
      </c>
      <c r="T105" s="152">
        <f>W104</f>
        <v/>
      </c>
      <c r="U105" s="159">
        <f>IF(T105&gt;0.005,T105*Debts!D12/12,0)</f>
        <v/>
      </c>
      <c r="V105" s="159" t="n">
        <v>0</v>
      </c>
      <c r="W105" s="152">
        <f>MAX(0,T105+U105-V105)</f>
        <v/>
      </c>
      <c r="X105" s="152">
        <f>AA104</f>
        <v/>
      </c>
      <c r="Y105" s="159">
        <f>IF(X105&gt;0.005,X105*Debts!D13/12,0)</f>
        <v/>
      </c>
      <c r="Z105" s="159" t="n">
        <v>0</v>
      </c>
      <c r="AA105" s="152">
        <f>MAX(0,X105+Y105-Z105)</f>
        <v/>
      </c>
      <c r="AB105" s="152">
        <f>AE104</f>
        <v/>
      </c>
      <c r="AC105" s="159">
        <f>IF(AB105&gt;0.005,AB105*Debts!D14/12,0)</f>
        <v/>
      </c>
      <c r="AD105" s="159" t="n">
        <v>0</v>
      </c>
      <c r="AE105" s="152">
        <f>MAX(0,AB105+AC105-AD105)</f>
        <v/>
      </c>
      <c r="AF105" s="152">
        <f>AI104</f>
        <v/>
      </c>
      <c r="AG105" s="159">
        <f>IF(AF105&gt;0.005,AF105*Debts!D15/12,0)</f>
        <v/>
      </c>
      <c r="AH105" s="159" t="n">
        <v>0</v>
      </c>
      <c r="AI105" s="152">
        <f>MAX(0,AF105+AG105-AH105)</f>
        <v/>
      </c>
      <c r="AJ105" s="152">
        <f>AM104</f>
        <v/>
      </c>
      <c r="AK105" s="159">
        <f>IF(AJ105&gt;0.005,AJ105*Debts!D16/12,0)</f>
        <v/>
      </c>
      <c r="AL105" s="159" t="n">
        <v>0</v>
      </c>
      <c r="AM105" s="152">
        <f>MAX(0,AJ105+AK105-AL105)</f>
        <v/>
      </c>
      <c r="AN105" s="152">
        <f>AQ104</f>
        <v/>
      </c>
      <c r="AO105" s="159">
        <f>IF(AN105&gt;0.005,AN105*Debts!D17/12,0)</f>
        <v/>
      </c>
      <c r="AP105" s="159" t="n">
        <v>0</v>
      </c>
      <c r="AQ105" s="152">
        <f>MAX(0,AN105+AO105-AP105)</f>
        <v/>
      </c>
      <c r="AR105" s="152">
        <f>AU104</f>
        <v/>
      </c>
      <c r="AS105" s="159">
        <f>IF(AR105&gt;0.005,AR105*Debts!D18/12,0)</f>
        <v/>
      </c>
      <c r="AT105" s="159" t="n">
        <v>0</v>
      </c>
      <c r="AU105" s="152">
        <f>MAX(0,AR105+AS105-AT105)</f>
        <v/>
      </c>
      <c r="AV105" s="152">
        <f>AY104</f>
        <v/>
      </c>
      <c r="AW105" s="159">
        <f>IF(AV105&gt;0.005,AV105*Debts!D19/12,0)</f>
        <v/>
      </c>
      <c r="AX105" s="159" t="n">
        <v>0</v>
      </c>
      <c r="AY105" s="152">
        <f>MAX(0,AV105+AW105-AX105)</f>
        <v/>
      </c>
      <c r="AZ105" s="152">
        <f>BC104</f>
        <v/>
      </c>
      <c r="BA105" s="159">
        <f>IF(AZ105&gt;0.005,AZ105*Debts!D20/12,0)</f>
        <v/>
      </c>
      <c r="BB105" s="159" t="n">
        <v>0</v>
      </c>
      <c r="BC105" s="152">
        <f>MAX(0,AZ105+BA105-BB105)</f>
        <v/>
      </c>
      <c r="BD105" s="152">
        <f>BG104</f>
        <v/>
      </c>
      <c r="BE105" s="159">
        <f>IF(BD105&gt;0.005,BD105*Debts!D21/12,0)</f>
        <v/>
      </c>
      <c r="BF105" s="159" t="n">
        <v>0</v>
      </c>
      <c r="BG105" s="152">
        <f>MAX(0,BD105+BE105-BF105)</f>
        <v/>
      </c>
      <c r="BH105" s="152">
        <f>BK104</f>
        <v/>
      </c>
      <c r="BI105" s="159">
        <f>IF(BH105&gt;0.005,BH105*Debts!D22/12,0)</f>
        <v/>
      </c>
      <c r="BJ105" s="159" t="n">
        <v>0</v>
      </c>
      <c r="BK105" s="152">
        <f>MAX(0,BH105+BI105-BJ105)</f>
        <v/>
      </c>
      <c r="BL105" s="152">
        <f>BO104</f>
        <v/>
      </c>
      <c r="BM105" s="159">
        <f>IF(BL105&gt;0.005,BL105*Debts!D23/12,0)</f>
        <v/>
      </c>
      <c r="BN105" s="159" t="n">
        <v>0</v>
      </c>
      <c r="BO105" s="152">
        <f>MAX(0,BL105+BM105-BN105)</f>
        <v/>
      </c>
      <c r="BP105" s="152">
        <f>BS104</f>
        <v/>
      </c>
      <c r="BQ105" s="159">
        <f>IF(BP105&gt;0.005,BP105*Debts!D24/12,0)</f>
        <v/>
      </c>
      <c r="BR105" s="159" t="n">
        <v>0</v>
      </c>
      <c r="BS105" s="152">
        <f>MAX(0,BP105+BQ105-BR105)</f>
        <v/>
      </c>
      <c r="BT105" s="152">
        <f>BW104</f>
        <v/>
      </c>
      <c r="BU105" s="159">
        <f>IF(BT105&gt;0.005,BT105*Debts!D25/12,0)</f>
        <v/>
      </c>
      <c r="BV105" s="159" t="n">
        <v>0</v>
      </c>
      <c r="BW105" s="152">
        <f>MAX(0,BT105+BU105-BV105)</f>
        <v/>
      </c>
      <c r="BX105" s="152">
        <f>CA104</f>
        <v/>
      </c>
      <c r="BY105" s="159">
        <f>IF(BX105&gt;0.005,BX105*Debts!D26/12,0)</f>
        <v/>
      </c>
      <c r="BZ105" s="159" t="n">
        <v>0</v>
      </c>
      <c r="CA105" s="152">
        <f>MAX(0,BX105+BY105-BZ105)</f>
        <v/>
      </c>
      <c r="CB105" s="152">
        <f>CE104</f>
        <v/>
      </c>
      <c r="CC105" s="159">
        <f>IF(CB105&gt;0.005,CB105*Debts!D27/12,0)</f>
        <v/>
      </c>
      <c r="CD105" s="159" t="n">
        <v>0</v>
      </c>
      <c r="CE105" s="152">
        <f>MAX(0,CB105+CC105-CD105)</f>
        <v/>
      </c>
      <c r="CF105" s="152">
        <f>G105+K105+O105+S105+W105+AA105+AE105+AI105+AM105+AQ105+AU105+AY105+BC105+BG105+BK105+BO105+BS105+BW105+CA105+CE105</f>
        <v/>
      </c>
      <c r="CG105" s="159">
        <f>E105+I105+M105+Q105+U105+Y105+AC105+AG105+AK105+AO105+AS105+AW105+BA105+BE105+BI105+BM105+BQ105+BU105+BY105+CC105</f>
        <v/>
      </c>
      <c r="CH105" s="152">
        <f>CH104+CG105</f>
        <v/>
      </c>
      <c r="CI105" s="148" t="n"/>
      <c r="CJ105" s="148" t="n"/>
    </row>
    <row r="106" ht="15" customHeight="1" s="83">
      <c r="A106" s="148" t="n"/>
      <c r="B106" s="158" t="n">
        <v>102</v>
      </c>
      <c r="C106" s="152">
        <f>F106+J106+N106+R106+V106+Z106+AD106+AH106+AL106+AP106+AT106+AX106+BB106+BF106+BJ106+BN106+BR106+BV106+BZ106+CD106</f>
        <v/>
      </c>
      <c r="D106" s="152">
        <f>G105</f>
        <v/>
      </c>
      <c r="E106" s="159">
        <f>IF(D106&gt;0.005,D106*Debts!D8/12,0)</f>
        <v/>
      </c>
      <c r="F106" s="159" t="n">
        <v>0</v>
      </c>
      <c r="G106" s="152">
        <f>MAX(0,D106+E106-F106)</f>
        <v/>
      </c>
      <c r="H106" s="152">
        <f>K105</f>
        <v/>
      </c>
      <c r="I106" s="159">
        <f>IF(H106&gt;0.005,H106*Debts!D9/12,0)</f>
        <v/>
      </c>
      <c r="J106" s="159" t="n">
        <v>0</v>
      </c>
      <c r="K106" s="152">
        <f>MAX(0,H106+I106-J106)</f>
        <v/>
      </c>
      <c r="L106" s="152">
        <f>O105</f>
        <v/>
      </c>
      <c r="M106" s="159">
        <f>IF(L106&gt;0.005,L106*Debts!D10/12,0)</f>
        <v/>
      </c>
      <c r="N106" s="159" t="n">
        <v>0</v>
      </c>
      <c r="O106" s="152">
        <f>MAX(0,L106+M106-N106)</f>
        <v/>
      </c>
      <c r="P106" s="152">
        <f>S105</f>
        <v/>
      </c>
      <c r="Q106" s="159">
        <f>IF(P106&gt;0.005,P106*Debts!D11/12,0)</f>
        <v/>
      </c>
      <c r="R106" s="159" t="n">
        <v>0</v>
      </c>
      <c r="S106" s="152">
        <f>MAX(0,P106+Q106-R106)</f>
        <v/>
      </c>
      <c r="T106" s="152">
        <f>W105</f>
        <v/>
      </c>
      <c r="U106" s="159">
        <f>IF(T106&gt;0.005,T106*Debts!D12/12,0)</f>
        <v/>
      </c>
      <c r="V106" s="159" t="n">
        <v>0</v>
      </c>
      <c r="W106" s="152">
        <f>MAX(0,T106+U106-V106)</f>
        <v/>
      </c>
      <c r="X106" s="152">
        <f>AA105</f>
        <v/>
      </c>
      <c r="Y106" s="159">
        <f>IF(X106&gt;0.005,X106*Debts!D13/12,0)</f>
        <v/>
      </c>
      <c r="Z106" s="159" t="n">
        <v>0</v>
      </c>
      <c r="AA106" s="152">
        <f>MAX(0,X106+Y106-Z106)</f>
        <v/>
      </c>
      <c r="AB106" s="152">
        <f>AE105</f>
        <v/>
      </c>
      <c r="AC106" s="159">
        <f>IF(AB106&gt;0.005,AB106*Debts!D14/12,0)</f>
        <v/>
      </c>
      <c r="AD106" s="159" t="n">
        <v>0</v>
      </c>
      <c r="AE106" s="152">
        <f>MAX(0,AB106+AC106-AD106)</f>
        <v/>
      </c>
      <c r="AF106" s="152">
        <f>AI105</f>
        <v/>
      </c>
      <c r="AG106" s="159">
        <f>IF(AF106&gt;0.005,AF106*Debts!D15/12,0)</f>
        <v/>
      </c>
      <c r="AH106" s="159" t="n">
        <v>0</v>
      </c>
      <c r="AI106" s="152">
        <f>MAX(0,AF106+AG106-AH106)</f>
        <v/>
      </c>
      <c r="AJ106" s="152">
        <f>AM105</f>
        <v/>
      </c>
      <c r="AK106" s="159">
        <f>IF(AJ106&gt;0.005,AJ106*Debts!D16/12,0)</f>
        <v/>
      </c>
      <c r="AL106" s="159" t="n">
        <v>0</v>
      </c>
      <c r="AM106" s="152">
        <f>MAX(0,AJ106+AK106-AL106)</f>
        <v/>
      </c>
      <c r="AN106" s="152">
        <f>AQ105</f>
        <v/>
      </c>
      <c r="AO106" s="159">
        <f>IF(AN106&gt;0.005,AN106*Debts!D17/12,0)</f>
        <v/>
      </c>
      <c r="AP106" s="159" t="n">
        <v>0</v>
      </c>
      <c r="AQ106" s="152">
        <f>MAX(0,AN106+AO106-AP106)</f>
        <v/>
      </c>
      <c r="AR106" s="152">
        <f>AU105</f>
        <v/>
      </c>
      <c r="AS106" s="159">
        <f>IF(AR106&gt;0.005,AR106*Debts!D18/12,0)</f>
        <v/>
      </c>
      <c r="AT106" s="159" t="n">
        <v>0</v>
      </c>
      <c r="AU106" s="152">
        <f>MAX(0,AR106+AS106-AT106)</f>
        <v/>
      </c>
      <c r="AV106" s="152">
        <f>AY105</f>
        <v/>
      </c>
      <c r="AW106" s="159">
        <f>IF(AV106&gt;0.005,AV106*Debts!D19/12,0)</f>
        <v/>
      </c>
      <c r="AX106" s="159" t="n">
        <v>0</v>
      </c>
      <c r="AY106" s="152">
        <f>MAX(0,AV106+AW106-AX106)</f>
        <v/>
      </c>
      <c r="AZ106" s="152">
        <f>BC105</f>
        <v/>
      </c>
      <c r="BA106" s="159">
        <f>IF(AZ106&gt;0.005,AZ106*Debts!D20/12,0)</f>
        <v/>
      </c>
      <c r="BB106" s="159" t="n">
        <v>0</v>
      </c>
      <c r="BC106" s="152">
        <f>MAX(0,AZ106+BA106-BB106)</f>
        <v/>
      </c>
      <c r="BD106" s="152">
        <f>BG105</f>
        <v/>
      </c>
      <c r="BE106" s="159">
        <f>IF(BD106&gt;0.005,BD106*Debts!D21/12,0)</f>
        <v/>
      </c>
      <c r="BF106" s="159" t="n">
        <v>0</v>
      </c>
      <c r="BG106" s="152">
        <f>MAX(0,BD106+BE106-BF106)</f>
        <v/>
      </c>
      <c r="BH106" s="152">
        <f>BK105</f>
        <v/>
      </c>
      <c r="BI106" s="159">
        <f>IF(BH106&gt;0.005,BH106*Debts!D22/12,0)</f>
        <v/>
      </c>
      <c r="BJ106" s="159" t="n">
        <v>0</v>
      </c>
      <c r="BK106" s="152">
        <f>MAX(0,BH106+BI106-BJ106)</f>
        <v/>
      </c>
      <c r="BL106" s="152">
        <f>BO105</f>
        <v/>
      </c>
      <c r="BM106" s="159">
        <f>IF(BL106&gt;0.005,BL106*Debts!D23/12,0)</f>
        <v/>
      </c>
      <c r="BN106" s="159" t="n">
        <v>0</v>
      </c>
      <c r="BO106" s="152">
        <f>MAX(0,BL106+BM106-BN106)</f>
        <v/>
      </c>
      <c r="BP106" s="152">
        <f>BS105</f>
        <v/>
      </c>
      <c r="BQ106" s="159">
        <f>IF(BP106&gt;0.005,BP106*Debts!D24/12,0)</f>
        <v/>
      </c>
      <c r="BR106" s="159" t="n">
        <v>0</v>
      </c>
      <c r="BS106" s="152">
        <f>MAX(0,BP106+BQ106-BR106)</f>
        <v/>
      </c>
      <c r="BT106" s="152">
        <f>BW105</f>
        <v/>
      </c>
      <c r="BU106" s="159">
        <f>IF(BT106&gt;0.005,BT106*Debts!D25/12,0)</f>
        <v/>
      </c>
      <c r="BV106" s="159" t="n">
        <v>0</v>
      </c>
      <c r="BW106" s="152">
        <f>MAX(0,BT106+BU106-BV106)</f>
        <v/>
      </c>
      <c r="BX106" s="152">
        <f>CA105</f>
        <v/>
      </c>
      <c r="BY106" s="159">
        <f>IF(BX106&gt;0.005,BX106*Debts!D26/12,0)</f>
        <v/>
      </c>
      <c r="BZ106" s="159" t="n">
        <v>0</v>
      </c>
      <c r="CA106" s="152">
        <f>MAX(0,BX106+BY106-BZ106)</f>
        <v/>
      </c>
      <c r="CB106" s="152">
        <f>CE105</f>
        <v/>
      </c>
      <c r="CC106" s="159">
        <f>IF(CB106&gt;0.005,CB106*Debts!D27/12,0)</f>
        <v/>
      </c>
      <c r="CD106" s="159" t="n">
        <v>0</v>
      </c>
      <c r="CE106" s="152">
        <f>MAX(0,CB106+CC106-CD106)</f>
        <v/>
      </c>
      <c r="CF106" s="152">
        <f>G106+K106+O106+S106+W106+AA106+AE106+AI106+AM106+AQ106+AU106+AY106+BC106+BG106+BK106+BO106+BS106+BW106+CA106+CE106</f>
        <v/>
      </c>
      <c r="CG106" s="159">
        <f>E106+I106+M106+Q106+U106+Y106+AC106+AG106+AK106+AO106+AS106+AW106+BA106+BE106+BI106+BM106+BQ106+BU106+BY106+CC106</f>
        <v/>
      </c>
      <c r="CH106" s="152">
        <f>CH105+CG106</f>
        <v/>
      </c>
      <c r="CI106" s="148" t="n"/>
      <c r="CJ106" s="148" t="n"/>
    </row>
    <row r="107" ht="15" customHeight="1" s="83">
      <c r="A107" s="148" t="n"/>
      <c r="B107" s="158" t="n">
        <v>103</v>
      </c>
      <c r="C107" s="152">
        <f>F107+J107+N107+R107+V107+Z107+AD107+AH107+AL107+AP107+AT107+AX107+BB107+BF107+BJ107+BN107+BR107+BV107+BZ107+CD107</f>
        <v/>
      </c>
      <c r="D107" s="152">
        <f>G106</f>
        <v/>
      </c>
      <c r="E107" s="159">
        <f>IF(D107&gt;0.005,D107*Debts!D8/12,0)</f>
        <v/>
      </c>
      <c r="F107" s="159" t="n">
        <v>0</v>
      </c>
      <c r="G107" s="152">
        <f>MAX(0,D107+E107-F107)</f>
        <v/>
      </c>
      <c r="H107" s="152">
        <f>K106</f>
        <v/>
      </c>
      <c r="I107" s="159">
        <f>IF(H107&gt;0.005,H107*Debts!D9/12,0)</f>
        <v/>
      </c>
      <c r="J107" s="159" t="n">
        <v>0</v>
      </c>
      <c r="K107" s="152">
        <f>MAX(0,H107+I107-J107)</f>
        <v/>
      </c>
      <c r="L107" s="152">
        <f>O106</f>
        <v/>
      </c>
      <c r="M107" s="159">
        <f>IF(L107&gt;0.005,L107*Debts!D10/12,0)</f>
        <v/>
      </c>
      <c r="N107" s="159" t="n">
        <v>0</v>
      </c>
      <c r="O107" s="152">
        <f>MAX(0,L107+M107-N107)</f>
        <v/>
      </c>
      <c r="P107" s="152">
        <f>S106</f>
        <v/>
      </c>
      <c r="Q107" s="159">
        <f>IF(P107&gt;0.005,P107*Debts!D11/12,0)</f>
        <v/>
      </c>
      <c r="R107" s="159" t="n">
        <v>0</v>
      </c>
      <c r="S107" s="152">
        <f>MAX(0,P107+Q107-R107)</f>
        <v/>
      </c>
      <c r="T107" s="152">
        <f>W106</f>
        <v/>
      </c>
      <c r="U107" s="159">
        <f>IF(T107&gt;0.005,T107*Debts!D12/12,0)</f>
        <v/>
      </c>
      <c r="V107" s="159" t="n">
        <v>0</v>
      </c>
      <c r="W107" s="152">
        <f>MAX(0,T107+U107-V107)</f>
        <v/>
      </c>
      <c r="X107" s="152">
        <f>AA106</f>
        <v/>
      </c>
      <c r="Y107" s="159">
        <f>IF(X107&gt;0.005,X107*Debts!D13/12,0)</f>
        <v/>
      </c>
      <c r="Z107" s="159" t="n">
        <v>0</v>
      </c>
      <c r="AA107" s="152">
        <f>MAX(0,X107+Y107-Z107)</f>
        <v/>
      </c>
      <c r="AB107" s="152">
        <f>AE106</f>
        <v/>
      </c>
      <c r="AC107" s="159">
        <f>IF(AB107&gt;0.005,AB107*Debts!D14/12,0)</f>
        <v/>
      </c>
      <c r="AD107" s="159" t="n">
        <v>0</v>
      </c>
      <c r="AE107" s="152">
        <f>MAX(0,AB107+AC107-AD107)</f>
        <v/>
      </c>
      <c r="AF107" s="152">
        <f>AI106</f>
        <v/>
      </c>
      <c r="AG107" s="159">
        <f>IF(AF107&gt;0.005,AF107*Debts!D15/12,0)</f>
        <v/>
      </c>
      <c r="AH107" s="159" t="n">
        <v>0</v>
      </c>
      <c r="AI107" s="152">
        <f>MAX(0,AF107+AG107-AH107)</f>
        <v/>
      </c>
      <c r="AJ107" s="152">
        <f>AM106</f>
        <v/>
      </c>
      <c r="AK107" s="159">
        <f>IF(AJ107&gt;0.005,AJ107*Debts!D16/12,0)</f>
        <v/>
      </c>
      <c r="AL107" s="159" t="n">
        <v>0</v>
      </c>
      <c r="AM107" s="152">
        <f>MAX(0,AJ107+AK107-AL107)</f>
        <v/>
      </c>
      <c r="AN107" s="152">
        <f>AQ106</f>
        <v/>
      </c>
      <c r="AO107" s="159">
        <f>IF(AN107&gt;0.005,AN107*Debts!D17/12,0)</f>
        <v/>
      </c>
      <c r="AP107" s="159" t="n">
        <v>0</v>
      </c>
      <c r="AQ107" s="152">
        <f>MAX(0,AN107+AO107-AP107)</f>
        <v/>
      </c>
      <c r="AR107" s="152">
        <f>AU106</f>
        <v/>
      </c>
      <c r="AS107" s="159">
        <f>IF(AR107&gt;0.005,AR107*Debts!D18/12,0)</f>
        <v/>
      </c>
      <c r="AT107" s="159" t="n">
        <v>0</v>
      </c>
      <c r="AU107" s="152">
        <f>MAX(0,AR107+AS107-AT107)</f>
        <v/>
      </c>
      <c r="AV107" s="152">
        <f>AY106</f>
        <v/>
      </c>
      <c r="AW107" s="159">
        <f>IF(AV107&gt;0.005,AV107*Debts!D19/12,0)</f>
        <v/>
      </c>
      <c r="AX107" s="159" t="n">
        <v>0</v>
      </c>
      <c r="AY107" s="152">
        <f>MAX(0,AV107+AW107-AX107)</f>
        <v/>
      </c>
      <c r="AZ107" s="152">
        <f>BC106</f>
        <v/>
      </c>
      <c r="BA107" s="159">
        <f>IF(AZ107&gt;0.005,AZ107*Debts!D20/12,0)</f>
        <v/>
      </c>
      <c r="BB107" s="159" t="n">
        <v>0</v>
      </c>
      <c r="BC107" s="152">
        <f>MAX(0,AZ107+BA107-BB107)</f>
        <v/>
      </c>
      <c r="BD107" s="152">
        <f>BG106</f>
        <v/>
      </c>
      <c r="BE107" s="159">
        <f>IF(BD107&gt;0.005,BD107*Debts!D21/12,0)</f>
        <v/>
      </c>
      <c r="BF107" s="159" t="n">
        <v>0</v>
      </c>
      <c r="BG107" s="152">
        <f>MAX(0,BD107+BE107-BF107)</f>
        <v/>
      </c>
      <c r="BH107" s="152">
        <f>BK106</f>
        <v/>
      </c>
      <c r="BI107" s="159">
        <f>IF(BH107&gt;0.005,BH107*Debts!D22/12,0)</f>
        <v/>
      </c>
      <c r="BJ107" s="159" t="n">
        <v>0</v>
      </c>
      <c r="BK107" s="152">
        <f>MAX(0,BH107+BI107-BJ107)</f>
        <v/>
      </c>
      <c r="BL107" s="152">
        <f>BO106</f>
        <v/>
      </c>
      <c r="BM107" s="159">
        <f>IF(BL107&gt;0.005,BL107*Debts!D23/12,0)</f>
        <v/>
      </c>
      <c r="BN107" s="159" t="n">
        <v>0</v>
      </c>
      <c r="BO107" s="152">
        <f>MAX(0,BL107+BM107-BN107)</f>
        <v/>
      </c>
      <c r="BP107" s="152">
        <f>BS106</f>
        <v/>
      </c>
      <c r="BQ107" s="159">
        <f>IF(BP107&gt;0.005,BP107*Debts!D24/12,0)</f>
        <v/>
      </c>
      <c r="BR107" s="159" t="n">
        <v>0</v>
      </c>
      <c r="BS107" s="152">
        <f>MAX(0,BP107+BQ107-BR107)</f>
        <v/>
      </c>
      <c r="BT107" s="152">
        <f>BW106</f>
        <v/>
      </c>
      <c r="BU107" s="159">
        <f>IF(BT107&gt;0.005,BT107*Debts!D25/12,0)</f>
        <v/>
      </c>
      <c r="BV107" s="159" t="n">
        <v>0</v>
      </c>
      <c r="BW107" s="152">
        <f>MAX(0,BT107+BU107-BV107)</f>
        <v/>
      </c>
      <c r="BX107" s="152">
        <f>CA106</f>
        <v/>
      </c>
      <c r="BY107" s="159">
        <f>IF(BX107&gt;0.005,BX107*Debts!D26/12,0)</f>
        <v/>
      </c>
      <c r="BZ107" s="159" t="n">
        <v>0</v>
      </c>
      <c r="CA107" s="152">
        <f>MAX(0,BX107+BY107-BZ107)</f>
        <v/>
      </c>
      <c r="CB107" s="152">
        <f>CE106</f>
        <v/>
      </c>
      <c r="CC107" s="159">
        <f>IF(CB107&gt;0.005,CB107*Debts!D27/12,0)</f>
        <v/>
      </c>
      <c r="CD107" s="159" t="n">
        <v>0</v>
      </c>
      <c r="CE107" s="152">
        <f>MAX(0,CB107+CC107-CD107)</f>
        <v/>
      </c>
      <c r="CF107" s="152">
        <f>G107+K107+O107+S107+W107+AA107+AE107+AI107+AM107+AQ107+AU107+AY107+BC107+BG107+BK107+BO107+BS107+BW107+CA107+CE107</f>
        <v/>
      </c>
      <c r="CG107" s="159">
        <f>E107+I107+M107+Q107+U107+Y107+AC107+AG107+AK107+AO107+AS107+AW107+BA107+BE107+BI107+BM107+BQ107+BU107+BY107+CC107</f>
        <v/>
      </c>
      <c r="CH107" s="152">
        <f>CH106+CG107</f>
        <v/>
      </c>
      <c r="CI107" s="148" t="n"/>
      <c r="CJ107" s="148" t="n"/>
    </row>
    <row r="108" ht="15" customHeight="1" s="83">
      <c r="A108" s="148" t="n"/>
      <c r="B108" s="158" t="n">
        <v>104</v>
      </c>
      <c r="C108" s="152">
        <f>F108+J108+N108+R108+V108+Z108+AD108+AH108+AL108+AP108+AT108+AX108+BB108+BF108+BJ108+BN108+BR108+BV108+BZ108+CD108</f>
        <v/>
      </c>
      <c r="D108" s="152">
        <f>G107</f>
        <v/>
      </c>
      <c r="E108" s="159">
        <f>IF(D108&gt;0.005,D108*Debts!D8/12,0)</f>
        <v/>
      </c>
      <c r="F108" s="159" t="n">
        <v>0</v>
      </c>
      <c r="G108" s="152">
        <f>MAX(0,D108+E108-F108)</f>
        <v/>
      </c>
      <c r="H108" s="152">
        <f>K107</f>
        <v/>
      </c>
      <c r="I108" s="159">
        <f>IF(H108&gt;0.005,H108*Debts!D9/12,0)</f>
        <v/>
      </c>
      <c r="J108" s="159" t="n">
        <v>0</v>
      </c>
      <c r="K108" s="152">
        <f>MAX(0,H108+I108-J108)</f>
        <v/>
      </c>
      <c r="L108" s="152">
        <f>O107</f>
        <v/>
      </c>
      <c r="M108" s="159">
        <f>IF(L108&gt;0.005,L108*Debts!D10/12,0)</f>
        <v/>
      </c>
      <c r="N108" s="159" t="n">
        <v>0</v>
      </c>
      <c r="O108" s="152">
        <f>MAX(0,L108+M108-N108)</f>
        <v/>
      </c>
      <c r="P108" s="152">
        <f>S107</f>
        <v/>
      </c>
      <c r="Q108" s="159">
        <f>IF(P108&gt;0.005,P108*Debts!D11/12,0)</f>
        <v/>
      </c>
      <c r="R108" s="159" t="n">
        <v>0</v>
      </c>
      <c r="S108" s="152">
        <f>MAX(0,P108+Q108-R108)</f>
        <v/>
      </c>
      <c r="T108" s="152">
        <f>W107</f>
        <v/>
      </c>
      <c r="U108" s="159">
        <f>IF(T108&gt;0.005,T108*Debts!D12/12,0)</f>
        <v/>
      </c>
      <c r="V108" s="159" t="n">
        <v>0</v>
      </c>
      <c r="W108" s="152">
        <f>MAX(0,T108+U108-V108)</f>
        <v/>
      </c>
      <c r="X108" s="152">
        <f>AA107</f>
        <v/>
      </c>
      <c r="Y108" s="159">
        <f>IF(X108&gt;0.005,X108*Debts!D13/12,0)</f>
        <v/>
      </c>
      <c r="Z108" s="159" t="n">
        <v>0</v>
      </c>
      <c r="AA108" s="152">
        <f>MAX(0,X108+Y108-Z108)</f>
        <v/>
      </c>
      <c r="AB108" s="152">
        <f>AE107</f>
        <v/>
      </c>
      <c r="AC108" s="159">
        <f>IF(AB108&gt;0.005,AB108*Debts!D14/12,0)</f>
        <v/>
      </c>
      <c r="AD108" s="159" t="n">
        <v>0</v>
      </c>
      <c r="AE108" s="152">
        <f>MAX(0,AB108+AC108-AD108)</f>
        <v/>
      </c>
      <c r="AF108" s="152">
        <f>AI107</f>
        <v/>
      </c>
      <c r="AG108" s="159">
        <f>IF(AF108&gt;0.005,AF108*Debts!D15/12,0)</f>
        <v/>
      </c>
      <c r="AH108" s="159" t="n">
        <v>0</v>
      </c>
      <c r="AI108" s="152">
        <f>MAX(0,AF108+AG108-AH108)</f>
        <v/>
      </c>
      <c r="AJ108" s="152">
        <f>AM107</f>
        <v/>
      </c>
      <c r="AK108" s="159">
        <f>IF(AJ108&gt;0.005,AJ108*Debts!D16/12,0)</f>
        <v/>
      </c>
      <c r="AL108" s="159" t="n">
        <v>0</v>
      </c>
      <c r="AM108" s="152">
        <f>MAX(0,AJ108+AK108-AL108)</f>
        <v/>
      </c>
      <c r="AN108" s="152">
        <f>AQ107</f>
        <v/>
      </c>
      <c r="AO108" s="159">
        <f>IF(AN108&gt;0.005,AN108*Debts!D17/12,0)</f>
        <v/>
      </c>
      <c r="AP108" s="159" t="n">
        <v>0</v>
      </c>
      <c r="AQ108" s="152">
        <f>MAX(0,AN108+AO108-AP108)</f>
        <v/>
      </c>
      <c r="AR108" s="152">
        <f>AU107</f>
        <v/>
      </c>
      <c r="AS108" s="159">
        <f>IF(AR108&gt;0.005,AR108*Debts!D18/12,0)</f>
        <v/>
      </c>
      <c r="AT108" s="159" t="n">
        <v>0</v>
      </c>
      <c r="AU108" s="152">
        <f>MAX(0,AR108+AS108-AT108)</f>
        <v/>
      </c>
      <c r="AV108" s="152">
        <f>AY107</f>
        <v/>
      </c>
      <c r="AW108" s="159">
        <f>IF(AV108&gt;0.005,AV108*Debts!D19/12,0)</f>
        <v/>
      </c>
      <c r="AX108" s="159" t="n">
        <v>0</v>
      </c>
      <c r="AY108" s="152">
        <f>MAX(0,AV108+AW108-AX108)</f>
        <v/>
      </c>
      <c r="AZ108" s="152">
        <f>BC107</f>
        <v/>
      </c>
      <c r="BA108" s="159">
        <f>IF(AZ108&gt;0.005,AZ108*Debts!D20/12,0)</f>
        <v/>
      </c>
      <c r="BB108" s="159" t="n">
        <v>0</v>
      </c>
      <c r="BC108" s="152">
        <f>MAX(0,AZ108+BA108-BB108)</f>
        <v/>
      </c>
      <c r="BD108" s="152">
        <f>BG107</f>
        <v/>
      </c>
      <c r="BE108" s="159">
        <f>IF(BD108&gt;0.005,BD108*Debts!D21/12,0)</f>
        <v/>
      </c>
      <c r="BF108" s="159" t="n">
        <v>0</v>
      </c>
      <c r="BG108" s="152">
        <f>MAX(0,BD108+BE108-BF108)</f>
        <v/>
      </c>
      <c r="BH108" s="152">
        <f>BK107</f>
        <v/>
      </c>
      <c r="BI108" s="159">
        <f>IF(BH108&gt;0.005,BH108*Debts!D22/12,0)</f>
        <v/>
      </c>
      <c r="BJ108" s="159" t="n">
        <v>0</v>
      </c>
      <c r="BK108" s="152">
        <f>MAX(0,BH108+BI108-BJ108)</f>
        <v/>
      </c>
      <c r="BL108" s="152">
        <f>BO107</f>
        <v/>
      </c>
      <c r="BM108" s="159">
        <f>IF(BL108&gt;0.005,BL108*Debts!D23/12,0)</f>
        <v/>
      </c>
      <c r="BN108" s="159" t="n">
        <v>0</v>
      </c>
      <c r="BO108" s="152">
        <f>MAX(0,BL108+BM108-BN108)</f>
        <v/>
      </c>
      <c r="BP108" s="152">
        <f>BS107</f>
        <v/>
      </c>
      <c r="BQ108" s="159">
        <f>IF(BP108&gt;0.005,BP108*Debts!D24/12,0)</f>
        <v/>
      </c>
      <c r="BR108" s="159" t="n">
        <v>0</v>
      </c>
      <c r="BS108" s="152">
        <f>MAX(0,BP108+BQ108-BR108)</f>
        <v/>
      </c>
      <c r="BT108" s="152">
        <f>BW107</f>
        <v/>
      </c>
      <c r="BU108" s="159">
        <f>IF(BT108&gt;0.005,BT108*Debts!D25/12,0)</f>
        <v/>
      </c>
      <c r="BV108" s="159" t="n">
        <v>0</v>
      </c>
      <c r="BW108" s="152">
        <f>MAX(0,BT108+BU108-BV108)</f>
        <v/>
      </c>
      <c r="BX108" s="152">
        <f>CA107</f>
        <v/>
      </c>
      <c r="BY108" s="159">
        <f>IF(BX108&gt;0.005,BX108*Debts!D26/12,0)</f>
        <v/>
      </c>
      <c r="BZ108" s="159" t="n">
        <v>0</v>
      </c>
      <c r="CA108" s="152">
        <f>MAX(0,BX108+BY108-BZ108)</f>
        <v/>
      </c>
      <c r="CB108" s="152">
        <f>CE107</f>
        <v/>
      </c>
      <c r="CC108" s="159">
        <f>IF(CB108&gt;0.005,CB108*Debts!D27/12,0)</f>
        <v/>
      </c>
      <c r="CD108" s="159" t="n">
        <v>0</v>
      </c>
      <c r="CE108" s="152">
        <f>MAX(0,CB108+CC108-CD108)</f>
        <v/>
      </c>
      <c r="CF108" s="152">
        <f>G108+K108+O108+S108+W108+AA108+AE108+AI108+AM108+AQ108+AU108+AY108+BC108+BG108+BK108+BO108+BS108+BW108+CA108+CE108</f>
        <v/>
      </c>
      <c r="CG108" s="159">
        <f>E108+I108+M108+Q108+U108+Y108+AC108+AG108+AK108+AO108+AS108+AW108+BA108+BE108+BI108+BM108+BQ108+BU108+BY108+CC108</f>
        <v/>
      </c>
      <c r="CH108" s="152">
        <f>CH107+CG108</f>
        <v/>
      </c>
      <c r="CI108" s="148" t="n"/>
      <c r="CJ108" s="148" t="n"/>
    </row>
    <row r="109" ht="15" customHeight="1" s="83">
      <c r="A109" s="148" t="n"/>
      <c r="B109" s="158" t="n">
        <v>105</v>
      </c>
      <c r="C109" s="152">
        <f>F109+J109+N109+R109+V109+Z109+AD109+AH109+AL109+AP109+AT109+AX109+BB109+BF109+BJ109+BN109+BR109+BV109+BZ109+CD109</f>
        <v/>
      </c>
      <c r="D109" s="152">
        <f>G108</f>
        <v/>
      </c>
      <c r="E109" s="159">
        <f>IF(D109&gt;0.005,D109*Debts!D8/12,0)</f>
        <v/>
      </c>
      <c r="F109" s="159" t="n">
        <v>0</v>
      </c>
      <c r="G109" s="152">
        <f>MAX(0,D109+E109-F109)</f>
        <v/>
      </c>
      <c r="H109" s="152">
        <f>K108</f>
        <v/>
      </c>
      <c r="I109" s="159">
        <f>IF(H109&gt;0.005,H109*Debts!D9/12,0)</f>
        <v/>
      </c>
      <c r="J109" s="159" t="n">
        <v>0</v>
      </c>
      <c r="K109" s="152">
        <f>MAX(0,H109+I109-J109)</f>
        <v/>
      </c>
      <c r="L109" s="152">
        <f>O108</f>
        <v/>
      </c>
      <c r="M109" s="159">
        <f>IF(L109&gt;0.005,L109*Debts!D10/12,0)</f>
        <v/>
      </c>
      <c r="N109" s="159" t="n">
        <v>0</v>
      </c>
      <c r="O109" s="152">
        <f>MAX(0,L109+M109-N109)</f>
        <v/>
      </c>
      <c r="P109" s="152">
        <f>S108</f>
        <v/>
      </c>
      <c r="Q109" s="159">
        <f>IF(P109&gt;0.005,P109*Debts!D11/12,0)</f>
        <v/>
      </c>
      <c r="R109" s="159" t="n">
        <v>0</v>
      </c>
      <c r="S109" s="152">
        <f>MAX(0,P109+Q109-R109)</f>
        <v/>
      </c>
      <c r="T109" s="152">
        <f>W108</f>
        <v/>
      </c>
      <c r="U109" s="159">
        <f>IF(T109&gt;0.005,T109*Debts!D12/12,0)</f>
        <v/>
      </c>
      <c r="V109" s="159" t="n">
        <v>0</v>
      </c>
      <c r="W109" s="152">
        <f>MAX(0,T109+U109-V109)</f>
        <v/>
      </c>
      <c r="X109" s="152">
        <f>AA108</f>
        <v/>
      </c>
      <c r="Y109" s="159">
        <f>IF(X109&gt;0.005,X109*Debts!D13/12,0)</f>
        <v/>
      </c>
      <c r="Z109" s="159" t="n">
        <v>0</v>
      </c>
      <c r="AA109" s="152">
        <f>MAX(0,X109+Y109-Z109)</f>
        <v/>
      </c>
      <c r="AB109" s="152">
        <f>AE108</f>
        <v/>
      </c>
      <c r="AC109" s="159">
        <f>IF(AB109&gt;0.005,AB109*Debts!D14/12,0)</f>
        <v/>
      </c>
      <c r="AD109" s="159" t="n">
        <v>0</v>
      </c>
      <c r="AE109" s="152">
        <f>MAX(0,AB109+AC109-AD109)</f>
        <v/>
      </c>
      <c r="AF109" s="152">
        <f>AI108</f>
        <v/>
      </c>
      <c r="AG109" s="159">
        <f>IF(AF109&gt;0.005,AF109*Debts!D15/12,0)</f>
        <v/>
      </c>
      <c r="AH109" s="159" t="n">
        <v>0</v>
      </c>
      <c r="AI109" s="152">
        <f>MAX(0,AF109+AG109-AH109)</f>
        <v/>
      </c>
      <c r="AJ109" s="152">
        <f>AM108</f>
        <v/>
      </c>
      <c r="AK109" s="159">
        <f>IF(AJ109&gt;0.005,AJ109*Debts!D16/12,0)</f>
        <v/>
      </c>
      <c r="AL109" s="159" t="n">
        <v>0</v>
      </c>
      <c r="AM109" s="152">
        <f>MAX(0,AJ109+AK109-AL109)</f>
        <v/>
      </c>
      <c r="AN109" s="152">
        <f>AQ108</f>
        <v/>
      </c>
      <c r="AO109" s="159">
        <f>IF(AN109&gt;0.005,AN109*Debts!D17/12,0)</f>
        <v/>
      </c>
      <c r="AP109" s="159" t="n">
        <v>0</v>
      </c>
      <c r="AQ109" s="152">
        <f>MAX(0,AN109+AO109-AP109)</f>
        <v/>
      </c>
      <c r="AR109" s="152">
        <f>AU108</f>
        <v/>
      </c>
      <c r="AS109" s="159">
        <f>IF(AR109&gt;0.005,AR109*Debts!D18/12,0)</f>
        <v/>
      </c>
      <c r="AT109" s="159" t="n">
        <v>0</v>
      </c>
      <c r="AU109" s="152">
        <f>MAX(0,AR109+AS109-AT109)</f>
        <v/>
      </c>
      <c r="AV109" s="152">
        <f>AY108</f>
        <v/>
      </c>
      <c r="AW109" s="159">
        <f>IF(AV109&gt;0.005,AV109*Debts!D19/12,0)</f>
        <v/>
      </c>
      <c r="AX109" s="159" t="n">
        <v>0</v>
      </c>
      <c r="AY109" s="152">
        <f>MAX(0,AV109+AW109-AX109)</f>
        <v/>
      </c>
      <c r="AZ109" s="152">
        <f>BC108</f>
        <v/>
      </c>
      <c r="BA109" s="159">
        <f>IF(AZ109&gt;0.005,AZ109*Debts!D20/12,0)</f>
        <v/>
      </c>
      <c r="BB109" s="159" t="n">
        <v>0</v>
      </c>
      <c r="BC109" s="152">
        <f>MAX(0,AZ109+BA109-BB109)</f>
        <v/>
      </c>
      <c r="BD109" s="152">
        <f>BG108</f>
        <v/>
      </c>
      <c r="BE109" s="159">
        <f>IF(BD109&gt;0.005,BD109*Debts!D21/12,0)</f>
        <v/>
      </c>
      <c r="BF109" s="159" t="n">
        <v>0</v>
      </c>
      <c r="BG109" s="152">
        <f>MAX(0,BD109+BE109-BF109)</f>
        <v/>
      </c>
      <c r="BH109" s="152">
        <f>BK108</f>
        <v/>
      </c>
      <c r="BI109" s="159">
        <f>IF(BH109&gt;0.005,BH109*Debts!D22/12,0)</f>
        <v/>
      </c>
      <c r="BJ109" s="159" t="n">
        <v>0</v>
      </c>
      <c r="BK109" s="152">
        <f>MAX(0,BH109+BI109-BJ109)</f>
        <v/>
      </c>
      <c r="BL109" s="152">
        <f>BO108</f>
        <v/>
      </c>
      <c r="BM109" s="159">
        <f>IF(BL109&gt;0.005,BL109*Debts!D23/12,0)</f>
        <v/>
      </c>
      <c r="BN109" s="159" t="n">
        <v>0</v>
      </c>
      <c r="BO109" s="152">
        <f>MAX(0,BL109+BM109-BN109)</f>
        <v/>
      </c>
      <c r="BP109" s="152">
        <f>BS108</f>
        <v/>
      </c>
      <c r="BQ109" s="159">
        <f>IF(BP109&gt;0.005,BP109*Debts!D24/12,0)</f>
        <v/>
      </c>
      <c r="BR109" s="159" t="n">
        <v>0</v>
      </c>
      <c r="BS109" s="152">
        <f>MAX(0,BP109+BQ109-BR109)</f>
        <v/>
      </c>
      <c r="BT109" s="152">
        <f>BW108</f>
        <v/>
      </c>
      <c r="BU109" s="159">
        <f>IF(BT109&gt;0.005,BT109*Debts!D25/12,0)</f>
        <v/>
      </c>
      <c r="BV109" s="159" t="n">
        <v>0</v>
      </c>
      <c r="BW109" s="152">
        <f>MAX(0,BT109+BU109-BV109)</f>
        <v/>
      </c>
      <c r="BX109" s="152">
        <f>CA108</f>
        <v/>
      </c>
      <c r="BY109" s="159">
        <f>IF(BX109&gt;0.005,BX109*Debts!D26/12,0)</f>
        <v/>
      </c>
      <c r="BZ109" s="159" t="n">
        <v>0</v>
      </c>
      <c r="CA109" s="152">
        <f>MAX(0,BX109+BY109-BZ109)</f>
        <v/>
      </c>
      <c r="CB109" s="152">
        <f>CE108</f>
        <v/>
      </c>
      <c r="CC109" s="159">
        <f>IF(CB109&gt;0.005,CB109*Debts!D27/12,0)</f>
        <v/>
      </c>
      <c r="CD109" s="159" t="n">
        <v>0</v>
      </c>
      <c r="CE109" s="152">
        <f>MAX(0,CB109+CC109-CD109)</f>
        <v/>
      </c>
      <c r="CF109" s="152">
        <f>G109+K109+O109+S109+W109+AA109+AE109+AI109+AM109+AQ109+AU109+AY109+BC109+BG109+BK109+BO109+BS109+BW109+CA109+CE109</f>
        <v/>
      </c>
      <c r="CG109" s="159">
        <f>E109+I109+M109+Q109+U109+Y109+AC109+AG109+AK109+AO109+AS109+AW109+BA109+BE109+BI109+BM109+BQ109+BU109+BY109+CC109</f>
        <v/>
      </c>
      <c r="CH109" s="152">
        <f>CH108+CG109</f>
        <v/>
      </c>
      <c r="CI109" s="148" t="n"/>
      <c r="CJ109" s="148" t="n"/>
    </row>
    <row r="110" ht="15" customHeight="1" s="83">
      <c r="A110" s="148" t="n"/>
      <c r="B110" s="158" t="n">
        <v>106</v>
      </c>
      <c r="C110" s="152">
        <f>F110+J110+N110+R110+V110+Z110+AD110+AH110+AL110+AP110+AT110+AX110+BB110+BF110+BJ110+BN110+BR110+BV110+BZ110+CD110</f>
        <v/>
      </c>
      <c r="D110" s="152">
        <f>G109</f>
        <v/>
      </c>
      <c r="E110" s="159">
        <f>IF(D110&gt;0.005,D110*Debts!D8/12,0)</f>
        <v/>
      </c>
      <c r="F110" s="159" t="n">
        <v>0</v>
      </c>
      <c r="G110" s="152">
        <f>MAX(0,D110+E110-F110)</f>
        <v/>
      </c>
      <c r="H110" s="152">
        <f>K109</f>
        <v/>
      </c>
      <c r="I110" s="159">
        <f>IF(H110&gt;0.005,H110*Debts!D9/12,0)</f>
        <v/>
      </c>
      <c r="J110" s="159" t="n">
        <v>0</v>
      </c>
      <c r="K110" s="152">
        <f>MAX(0,H110+I110-J110)</f>
        <v/>
      </c>
      <c r="L110" s="152">
        <f>O109</f>
        <v/>
      </c>
      <c r="M110" s="159">
        <f>IF(L110&gt;0.005,L110*Debts!D10/12,0)</f>
        <v/>
      </c>
      <c r="N110" s="159" t="n">
        <v>0</v>
      </c>
      <c r="O110" s="152">
        <f>MAX(0,L110+M110-N110)</f>
        <v/>
      </c>
      <c r="P110" s="152">
        <f>S109</f>
        <v/>
      </c>
      <c r="Q110" s="159">
        <f>IF(P110&gt;0.005,P110*Debts!D11/12,0)</f>
        <v/>
      </c>
      <c r="R110" s="159" t="n">
        <v>0</v>
      </c>
      <c r="S110" s="152">
        <f>MAX(0,P110+Q110-R110)</f>
        <v/>
      </c>
      <c r="T110" s="152">
        <f>W109</f>
        <v/>
      </c>
      <c r="U110" s="159">
        <f>IF(T110&gt;0.005,T110*Debts!D12/12,0)</f>
        <v/>
      </c>
      <c r="V110" s="159" t="n">
        <v>0</v>
      </c>
      <c r="W110" s="152">
        <f>MAX(0,T110+U110-V110)</f>
        <v/>
      </c>
      <c r="X110" s="152">
        <f>AA109</f>
        <v/>
      </c>
      <c r="Y110" s="159">
        <f>IF(X110&gt;0.005,X110*Debts!D13/12,0)</f>
        <v/>
      </c>
      <c r="Z110" s="159" t="n">
        <v>0</v>
      </c>
      <c r="AA110" s="152">
        <f>MAX(0,X110+Y110-Z110)</f>
        <v/>
      </c>
      <c r="AB110" s="152">
        <f>AE109</f>
        <v/>
      </c>
      <c r="AC110" s="159">
        <f>IF(AB110&gt;0.005,AB110*Debts!D14/12,0)</f>
        <v/>
      </c>
      <c r="AD110" s="159" t="n">
        <v>0</v>
      </c>
      <c r="AE110" s="152">
        <f>MAX(0,AB110+AC110-AD110)</f>
        <v/>
      </c>
      <c r="AF110" s="152">
        <f>AI109</f>
        <v/>
      </c>
      <c r="AG110" s="159">
        <f>IF(AF110&gt;0.005,AF110*Debts!D15/12,0)</f>
        <v/>
      </c>
      <c r="AH110" s="159" t="n">
        <v>0</v>
      </c>
      <c r="AI110" s="152">
        <f>MAX(0,AF110+AG110-AH110)</f>
        <v/>
      </c>
      <c r="AJ110" s="152">
        <f>AM109</f>
        <v/>
      </c>
      <c r="AK110" s="159">
        <f>IF(AJ110&gt;0.005,AJ110*Debts!D16/12,0)</f>
        <v/>
      </c>
      <c r="AL110" s="159" t="n">
        <v>0</v>
      </c>
      <c r="AM110" s="152">
        <f>MAX(0,AJ110+AK110-AL110)</f>
        <v/>
      </c>
      <c r="AN110" s="152">
        <f>AQ109</f>
        <v/>
      </c>
      <c r="AO110" s="159">
        <f>IF(AN110&gt;0.005,AN110*Debts!D17/12,0)</f>
        <v/>
      </c>
      <c r="AP110" s="159" t="n">
        <v>0</v>
      </c>
      <c r="AQ110" s="152">
        <f>MAX(0,AN110+AO110-AP110)</f>
        <v/>
      </c>
      <c r="AR110" s="152">
        <f>AU109</f>
        <v/>
      </c>
      <c r="AS110" s="159">
        <f>IF(AR110&gt;0.005,AR110*Debts!D18/12,0)</f>
        <v/>
      </c>
      <c r="AT110" s="159" t="n">
        <v>0</v>
      </c>
      <c r="AU110" s="152">
        <f>MAX(0,AR110+AS110-AT110)</f>
        <v/>
      </c>
      <c r="AV110" s="152">
        <f>AY109</f>
        <v/>
      </c>
      <c r="AW110" s="159">
        <f>IF(AV110&gt;0.005,AV110*Debts!D19/12,0)</f>
        <v/>
      </c>
      <c r="AX110" s="159" t="n">
        <v>0</v>
      </c>
      <c r="AY110" s="152">
        <f>MAX(0,AV110+AW110-AX110)</f>
        <v/>
      </c>
      <c r="AZ110" s="152">
        <f>BC109</f>
        <v/>
      </c>
      <c r="BA110" s="159">
        <f>IF(AZ110&gt;0.005,AZ110*Debts!D20/12,0)</f>
        <v/>
      </c>
      <c r="BB110" s="159" t="n">
        <v>0</v>
      </c>
      <c r="BC110" s="152">
        <f>MAX(0,AZ110+BA110-BB110)</f>
        <v/>
      </c>
      <c r="BD110" s="152">
        <f>BG109</f>
        <v/>
      </c>
      <c r="BE110" s="159">
        <f>IF(BD110&gt;0.005,BD110*Debts!D21/12,0)</f>
        <v/>
      </c>
      <c r="BF110" s="159" t="n">
        <v>0</v>
      </c>
      <c r="BG110" s="152">
        <f>MAX(0,BD110+BE110-BF110)</f>
        <v/>
      </c>
      <c r="BH110" s="152">
        <f>BK109</f>
        <v/>
      </c>
      <c r="BI110" s="159">
        <f>IF(BH110&gt;0.005,BH110*Debts!D22/12,0)</f>
        <v/>
      </c>
      <c r="BJ110" s="159" t="n">
        <v>0</v>
      </c>
      <c r="BK110" s="152">
        <f>MAX(0,BH110+BI110-BJ110)</f>
        <v/>
      </c>
      <c r="BL110" s="152">
        <f>BO109</f>
        <v/>
      </c>
      <c r="BM110" s="159">
        <f>IF(BL110&gt;0.005,BL110*Debts!D23/12,0)</f>
        <v/>
      </c>
      <c r="BN110" s="159" t="n">
        <v>0</v>
      </c>
      <c r="BO110" s="152">
        <f>MAX(0,BL110+BM110-BN110)</f>
        <v/>
      </c>
      <c r="BP110" s="152">
        <f>BS109</f>
        <v/>
      </c>
      <c r="BQ110" s="159">
        <f>IF(BP110&gt;0.005,BP110*Debts!D24/12,0)</f>
        <v/>
      </c>
      <c r="BR110" s="159" t="n">
        <v>0</v>
      </c>
      <c r="BS110" s="152">
        <f>MAX(0,BP110+BQ110-BR110)</f>
        <v/>
      </c>
      <c r="BT110" s="152">
        <f>BW109</f>
        <v/>
      </c>
      <c r="BU110" s="159">
        <f>IF(BT110&gt;0.005,BT110*Debts!D25/12,0)</f>
        <v/>
      </c>
      <c r="BV110" s="159" t="n">
        <v>0</v>
      </c>
      <c r="BW110" s="152">
        <f>MAX(0,BT110+BU110-BV110)</f>
        <v/>
      </c>
      <c r="BX110" s="152">
        <f>CA109</f>
        <v/>
      </c>
      <c r="BY110" s="159">
        <f>IF(BX110&gt;0.005,BX110*Debts!D26/12,0)</f>
        <v/>
      </c>
      <c r="BZ110" s="159" t="n">
        <v>0</v>
      </c>
      <c r="CA110" s="152">
        <f>MAX(0,BX110+BY110-BZ110)</f>
        <v/>
      </c>
      <c r="CB110" s="152">
        <f>CE109</f>
        <v/>
      </c>
      <c r="CC110" s="159">
        <f>IF(CB110&gt;0.005,CB110*Debts!D27/12,0)</f>
        <v/>
      </c>
      <c r="CD110" s="159" t="n">
        <v>0</v>
      </c>
      <c r="CE110" s="152">
        <f>MAX(0,CB110+CC110-CD110)</f>
        <v/>
      </c>
      <c r="CF110" s="152">
        <f>G110+K110+O110+S110+W110+AA110+AE110+AI110+AM110+AQ110+AU110+AY110+BC110+BG110+BK110+BO110+BS110+BW110+CA110+CE110</f>
        <v/>
      </c>
      <c r="CG110" s="159">
        <f>E110+I110+M110+Q110+U110+Y110+AC110+AG110+AK110+AO110+AS110+AW110+BA110+BE110+BI110+BM110+BQ110+BU110+BY110+CC110</f>
        <v/>
      </c>
      <c r="CH110" s="152">
        <f>CH109+CG110</f>
        <v/>
      </c>
      <c r="CI110" s="148" t="n"/>
      <c r="CJ110" s="148" t="n"/>
    </row>
    <row r="111" ht="15" customHeight="1" s="83">
      <c r="A111" s="148" t="n"/>
      <c r="B111" s="158" t="n">
        <v>107</v>
      </c>
      <c r="C111" s="152">
        <f>F111+J111+N111+R111+V111+Z111+AD111+AH111+AL111+AP111+AT111+AX111+BB111+BF111+BJ111+BN111+BR111+BV111+BZ111+CD111</f>
        <v/>
      </c>
      <c r="D111" s="152">
        <f>G110</f>
        <v/>
      </c>
      <c r="E111" s="159">
        <f>IF(D111&gt;0.005,D111*Debts!D8/12,0)</f>
        <v/>
      </c>
      <c r="F111" s="159" t="n">
        <v>0</v>
      </c>
      <c r="G111" s="152">
        <f>MAX(0,D111+E111-F111)</f>
        <v/>
      </c>
      <c r="H111" s="152">
        <f>K110</f>
        <v/>
      </c>
      <c r="I111" s="159">
        <f>IF(H111&gt;0.005,H111*Debts!D9/12,0)</f>
        <v/>
      </c>
      <c r="J111" s="159" t="n">
        <v>0</v>
      </c>
      <c r="K111" s="152">
        <f>MAX(0,H111+I111-J111)</f>
        <v/>
      </c>
      <c r="L111" s="152">
        <f>O110</f>
        <v/>
      </c>
      <c r="M111" s="159">
        <f>IF(L111&gt;0.005,L111*Debts!D10/12,0)</f>
        <v/>
      </c>
      <c r="N111" s="159" t="n">
        <v>0</v>
      </c>
      <c r="O111" s="152">
        <f>MAX(0,L111+M111-N111)</f>
        <v/>
      </c>
      <c r="P111" s="152">
        <f>S110</f>
        <v/>
      </c>
      <c r="Q111" s="159">
        <f>IF(P111&gt;0.005,P111*Debts!D11/12,0)</f>
        <v/>
      </c>
      <c r="R111" s="159" t="n">
        <v>0</v>
      </c>
      <c r="S111" s="152">
        <f>MAX(0,P111+Q111-R111)</f>
        <v/>
      </c>
      <c r="T111" s="152">
        <f>W110</f>
        <v/>
      </c>
      <c r="U111" s="159">
        <f>IF(T111&gt;0.005,T111*Debts!D12/12,0)</f>
        <v/>
      </c>
      <c r="V111" s="159" t="n">
        <v>0</v>
      </c>
      <c r="W111" s="152">
        <f>MAX(0,T111+U111-V111)</f>
        <v/>
      </c>
      <c r="X111" s="152">
        <f>AA110</f>
        <v/>
      </c>
      <c r="Y111" s="159">
        <f>IF(X111&gt;0.005,X111*Debts!D13/12,0)</f>
        <v/>
      </c>
      <c r="Z111" s="159" t="n">
        <v>0</v>
      </c>
      <c r="AA111" s="152">
        <f>MAX(0,X111+Y111-Z111)</f>
        <v/>
      </c>
      <c r="AB111" s="152">
        <f>AE110</f>
        <v/>
      </c>
      <c r="AC111" s="159">
        <f>IF(AB111&gt;0.005,AB111*Debts!D14/12,0)</f>
        <v/>
      </c>
      <c r="AD111" s="159" t="n">
        <v>0</v>
      </c>
      <c r="AE111" s="152">
        <f>MAX(0,AB111+AC111-AD111)</f>
        <v/>
      </c>
      <c r="AF111" s="152">
        <f>AI110</f>
        <v/>
      </c>
      <c r="AG111" s="159">
        <f>IF(AF111&gt;0.005,AF111*Debts!D15/12,0)</f>
        <v/>
      </c>
      <c r="AH111" s="159" t="n">
        <v>0</v>
      </c>
      <c r="AI111" s="152">
        <f>MAX(0,AF111+AG111-AH111)</f>
        <v/>
      </c>
      <c r="AJ111" s="152">
        <f>AM110</f>
        <v/>
      </c>
      <c r="AK111" s="159">
        <f>IF(AJ111&gt;0.005,AJ111*Debts!D16/12,0)</f>
        <v/>
      </c>
      <c r="AL111" s="159" t="n">
        <v>0</v>
      </c>
      <c r="AM111" s="152">
        <f>MAX(0,AJ111+AK111-AL111)</f>
        <v/>
      </c>
      <c r="AN111" s="152">
        <f>AQ110</f>
        <v/>
      </c>
      <c r="AO111" s="159">
        <f>IF(AN111&gt;0.005,AN111*Debts!D17/12,0)</f>
        <v/>
      </c>
      <c r="AP111" s="159" t="n">
        <v>0</v>
      </c>
      <c r="AQ111" s="152">
        <f>MAX(0,AN111+AO111-AP111)</f>
        <v/>
      </c>
      <c r="AR111" s="152">
        <f>AU110</f>
        <v/>
      </c>
      <c r="AS111" s="159">
        <f>IF(AR111&gt;0.005,AR111*Debts!D18/12,0)</f>
        <v/>
      </c>
      <c r="AT111" s="159" t="n">
        <v>0</v>
      </c>
      <c r="AU111" s="152">
        <f>MAX(0,AR111+AS111-AT111)</f>
        <v/>
      </c>
      <c r="AV111" s="152">
        <f>AY110</f>
        <v/>
      </c>
      <c r="AW111" s="159">
        <f>IF(AV111&gt;0.005,AV111*Debts!D19/12,0)</f>
        <v/>
      </c>
      <c r="AX111" s="159" t="n">
        <v>0</v>
      </c>
      <c r="AY111" s="152">
        <f>MAX(0,AV111+AW111-AX111)</f>
        <v/>
      </c>
      <c r="AZ111" s="152">
        <f>BC110</f>
        <v/>
      </c>
      <c r="BA111" s="159">
        <f>IF(AZ111&gt;0.005,AZ111*Debts!D20/12,0)</f>
        <v/>
      </c>
      <c r="BB111" s="159" t="n">
        <v>0</v>
      </c>
      <c r="BC111" s="152">
        <f>MAX(0,AZ111+BA111-BB111)</f>
        <v/>
      </c>
      <c r="BD111" s="152">
        <f>BG110</f>
        <v/>
      </c>
      <c r="BE111" s="159">
        <f>IF(BD111&gt;0.005,BD111*Debts!D21/12,0)</f>
        <v/>
      </c>
      <c r="BF111" s="159" t="n">
        <v>0</v>
      </c>
      <c r="BG111" s="152">
        <f>MAX(0,BD111+BE111-BF111)</f>
        <v/>
      </c>
      <c r="BH111" s="152">
        <f>BK110</f>
        <v/>
      </c>
      <c r="BI111" s="159">
        <f>IF(BH111&gt;0.005,BH111*Debts!D22/12,0)</f>
        <v/>
      </c>
      <c r="BJ111" s="159" t="n">
        <v>0</v>
      </c>
      <c r="BK111" s="152">
        <f>MAX(0,BH111+BI111-BJ111)</f>
        <v/>
      </c>
      <c r="BL111" s="152">
        <f>BO110</f>
        <v/>
      </c>
      <c r="BM111" s="159">
        <f>IF(BL111&gt;0.005,BL111*Debts!D23/12,0)</f>
        <v/>
      </c>
      <c r="BN111" s="159" t="n">
        <v>0</v>
      </c>
      <c r="BO111" s="152">
        <f>MAX(0,BL111+BM111-BN111)</f>
        <v/>
      </c>
      <c r="BP111" s="152">
        <f>BS110</f>
        <v/>
      </c>
      <c r="BQ111" s="159">
        <f>IF(BP111&gt;0.005,BP111*Debts!D24/12,0)</f>
        <v/>
      </c>
      <c r="BR111" s="159" t="n">
        <v>0</v>
      </c>
      <c r="BS111" s="152">
        <f>MAX(0,BP111+BQ111-BR111)</f>
        <v/>
      </c>
      <c r="BT111" s="152">
        <f>BW110</f>
        <v/>
      </c>
      <c r="BU111" s="159">
        <f>IF(BT111&gt;0.005,BT111*Debts!D25/12,0)</f>
        <v/>
      </c>
      <c r="BV111" s="159" t="n">
        <v>0</v>
      </c>
      <c r="BW111" s="152">
        <f>MAX(0,BT111+BU111-BV111)</f>
        <v/>
      </c>
      <c r="BX111" s="152">
        <f>CA110</f>
        <v/>
      </c>
      <c r="BY111" s="159">
        <f>IF(BX111&gt;0.005,BX111*Debts!D26/12,0)</f>
        <v/>
      </c>
      <c r="BZ111" s="159" t="n">
        <v>0</v>
      </c>
      <c r="CA111" s="152">
        <f>MAX(0,BX111+BY111-BZ111)</f>
        <v/>
      </c>
      <c r="CB111" s="152">
        <f>CE110</f>
        <v/>
      </c>
      <c r="CC111" s="159">
        <f>IF(CB111&gt;0.005,CB111*Debts!D27/12,0)</f>
        <v/>
      </c>
      <c r="CD111" s="159" t="n">
        <v>0</v>
      </c>
      <c r="CE111" s="152">
        <f>MAX(0,CB111+CC111-CD111)</f>
        <v/>
      </c>
      <c r="CF111" s="152">
        <f>G111+K111+O111+S111+W111+AA111+AE111+AI111+AM111+AQ111+AU111+AY111+BC111+BG111+BK111+BO111+BS111+BW111+CA111+CE111</f>
        <v/>
      </c>
      <c r="CG111" s="159">
        <f>E111+I111+M111+Q111+U111+Y111+AC111+AG111+AK111+AO111+AS111+AW111+BA111+BE111+BI111+BM111+BQ111+BU111+BY111+CC111</f>
        <v/>
      </c>
      <c r="CH111" s="152">
        <f>CH110+CG111</f>
        <v/>
      </c>
      <c r="CI111" s="148" t="n"/>
      <c r="CJ111" s="148" t="n"/>
    </row>
    <row r="112" ht="15" customHeight="1" s="83">
      <c r="A112" s="148" t="n"/>
      <c r="B112" s="158" t="n">
        <v>108</v>
      </c>
      <c r="C112" s="152">
        <f>F112+J112+N112+R112+V112+Z112+AD112+AH112+AL112+AP112+AT112+AX112+BB112+BF112+BJ112+BN112+BR112+BV112+BZ112+CD112</f>
        <v/>
      </c>
      <c r="D112" s="152">
        <f>G111</f>
        <v/>
      </c>
      <c r="E112" s="159">
        <f>IF(D112&gt;0.005,D112*Debts!D8/12,0)</f>
        <v/>
      </c>
      <c r="F112" s="159" t="n">
        <v>0</v>
      </c>
      <c r="G112" s="152">
        <f>MAX(0,D112+E112-F112)</f>
        <v/>
      </c>
      <c r="H112" s="152">
        <f>K111</f>
        <v/>
      </c>
      <c r="I112" s="159">
        <f>IF(H112&gt;0.005,H112*Debts!D9/12,0)</f>
        <v/>
      </c>
      <c r="J112" s="159" t="n">
        <v>0</v>
      </c>
      <c r="K112" s="152">
        <f>MAX(0,H112+I112-J112)</f>
        <v/>
      </c>
      <c r="L112" s="152">
        <f>O111</f>
        <v/>
      </c>
      <c r="M112" s="159">
        <f>IF(L112&gt;0.005,L112*Debts!D10/12,0)</f>
        <v/>
      </c>
      <c r="N112" s="159" t="n">
        <v>0</v>
      </c>
      <c r="O112" s="152">
        <f>MAX(0,L112+M112-N112)</f>
        <v/>
      </c>
      <c r="P112" s="152">
        <f>S111</f>
        <v/>
      </c>
      <c r="Q112" s="159">
        <f>IF(P112&gt;0.005,P112*Debts!D11/12,0)</f>
        <v/>
      </c>
      <c r="R112" s="159" t="n">
        <v>0</v>
      </c>
      <c r="S112" s="152">
        <f>MAX(0,P112+Q112-R112)</f>
        <v/>
      </c>
      <c r="T112" s="152">
        <f>W111</f>
        <v/>
      </c>
      <c r="U112" s="159">
        <f>IF(T112&gt;0.005,T112*Debts!D12/12,0)</f>
        <v/>
      </c>
      <c r="V112" s="159" t="n">
        <v>0</v>
      </c>
      <c r="W112" s="152">
        <f>MAX(0,T112+U112-V112)</f>
        <v/>
      </c>
      <c r="X112" s="152">
        <f>AA111</f>
        <v/>
      </c>
      <c r="Y112" s="159">
        <f>IF(X112&gt;0.005,X112*Debts!D13/12,0)</f>
        <v/>
      </c>
      <c r="Z112" s="159" t="n">
        <v>0</v>
      </c>
      <c r="AA112" s="152">
        <f>MAX(0,X112+Y112-Z112)</f>
        <v/>
      </c>
      <c r="AB112" s="152">
        <f>AE111</f>
        <v/>
      </c>
      <c r="AC112" s="159">
        <f>IF(AB112&gt;0.005,AB112*Debts!D14/12,0)</f>
        <v/>
      </c>
      <c r="AD112" s="159" t="n">
        <v>0</v>
      </c>
      <c r="AE112" s="152">
        <f>MAX(0,AB112+AC112-AD112)</f>
        <v/>
      </c>
      <c r="AF112" s="152">
        <f>AI111</f>
        <v/>
      </c>
      <c r="AG112" s="159">
        <f>IF(AF112&gt;0.005,AF112*Debts!D15/12,0)</f>
        <v/>
      </c>
      <c r="AH112" s="159" t="n">
        <v>0</v>
      </c>
      <c r="AI112" s="152">
        <f>MAX(0,AF112+AG112-AH112)</f>
        <v/>
      </c>
      <c r="AJ112" s="152">
        <f>AM111</f>
        <v/>
      </c>
      <c r="AK112" s="159">
        <f>IF(AJ112&gt;0.005,AJ112*Debts!D16/12,0)</f>
        <v/>
      </c>
      <c r="AL112" s="159" t="n">
        <v>0</v>
      </c>
      <c r="AM112" s="152">
        <f>MAX(0,AJ112+AK112-AL112)</f>
        <v/>
      </c>
      <c r="AN112" s="152">
        <f>AQ111</f>
        <v/>
      </c>
      <c r="AO112" s="159">
        <f>IF(AN112&gt;0.005,AN112*Debts!D17/12,0)</f>
        <v/>
      </c>
      <c r="AP112" s="159" t="n">
        <v>0</v>
      </c>
      <c r="AQ112" s="152">
        <f>MAX(0,AN112+AO112-AP112)</f>
        <v/>
      </c>
      <c r="AR112" s="152">
        <f>AU111</f>
        <v/>
      </c>
      <c r="AS112" s="159">
        <f>IF(AR112&gt;0.005,AR112*Debts!D18/12,0)</f>
        <v/>
      </c>
      <c r="AT112" s="159" t="n">
        <v>0</v>
      </c>
      <c r="AU112" s="152">
        <f>MAX(0,AR112+AS112-AT112)</f>
        <v/>
      </c>
      <c r="AV112" s="152">
        <f>AY111</f>
        <v/>
      </c>
      <c r="AW112" s="159">
        <f>IF(AV112&gt;0.005,AV112*Debts!D19/12,0)</f>
        <v/>
      </c>
      <c r="AX112" s="159" t="n">
        <v>0</v>
      </c>
      <c r="AY112" s="152">
        <f>MAX(0,AV112+AW112-AX112)</f>
        <v/>
      </c>
      <c r="AZ112" s="152">
        <f>BC111</f>
        <v/>
      </c>
      <c r="BA112" s="159">
        <f>IF(AZ112&gt;0.005,AZ112*Debts!D20/12,0)</f>
        <v/>
      </c>
      <c r="BB112" s="159" t="n">
        <v>0</v>
      </c>
      <c r="BC112" s="152">
        <f>MAX(0,AZ112+BA112-BB112)</f>
        <v/>
      </c>
      <c r="BD112" s="152">
        <f>BG111</f>
        <v/>
      </c>
      <c r="BE112" s="159">
        <f>IF(BD112&gt;0.005,BD112*Debts!D21/12,0)</f>
        <v/>
      </c>
      <c r="BF112" s="159" t="n">
        <v>0</v>
      </c>
      <c r="BG112" s="152">
        <f>MAX(0,BD112+BE112-BF112)</f>
        <v/>
      </c>
      <c r="BH112" s="152">
        <f>BK111</f>
        <v/>
      </c>
      <c r="BI112" s="159">
        <f>IF(BH112&gt;0.005,BH112*Debts!D22/12,0)</f>
        <v/>
      </c>
      <c r="BJ112" s="159" t="n">
        <v>0</v>
      </c>
      <c r="BK112" s="152">
        <f>MAX(0,BH112+BI112-BJ112)</f>
        <v/>
      </c>
      <c r="BL112" s="152">
        <f>BO111</f>
        <v/>
      </c>
      <c r="BM112" s="159">
        <f>IF(BL112&gt;0.005,BL112*Debts!D23/12,0)</f>
        <v/>
      </c>
      <c r="BN112" s="159" t="n">
        <v>0</v>
      </c>
      <c r="BO112" s="152">
        <f>MAX(0,BL112+BM112-BN112)</f>
        <v/>
      </c>
      <c r="BP112" s="152">
        <f>BS111</f>
        <v/>
      </c>
      <c r="BQ112" s="159">
        <f>IF(BP112&gt;0.005,BP112*Debts!D24/12,0)</f>
        <v/>
      </c>
      <c r="BR112" s="159" t="n">
        <v>0</v>
      </c>
      <c r="BS112" s="152">
        <f>MAX(0,BP112+BQ112-BR112)</f>
        <v/>
      </c>
      <c r="BT112" s="152">
        <f>BW111</f>
        <v/>
      </c>
      <c r="BU112" s="159">
        <f>IF(BT112&gt;0.005,BT112*Debts!D25/12,0)</f>
        <v/>
      </c>
      <c r="BV112" s="159" t="n">
        <v>0</v>
      </c>
      <c r="BW112" s="152">
        <f>MAX(0,BT112+BU112-BV112)</f>
        <v/>
      </c>
      <c r="BX112" s="152">
        <f>CA111</f>
        <v/>
      </c>
      <c r="BY112" s="159">
        <f>IF(BX112&gt;0.005,BX112*Debts!D26/12,0)</f>
        <v/>
      </c>
      <c r="BZ112" s="159" t="n">
        <v>0</v>
      </c>
      <c r="CA112" s="152">
        <f>MAX(0,BX112+BY112-BZ112)</f>
        <v/>
      </c>
      <c r="CB112" s="152">
        <f>CE111</f>
        <v/>
      </c>
      <c r="CC112" s="159">
        <f>IF(CB112&gt;0.005,CB112*Debts!D27/12,0)</f>
        <v/>
      </c>
      <c r="CD112" s="159" t="n">
        <v>0</v>
      </c>
      <c r="CE112" s="152">
        <f>MAX(0,CB112+CC112-CD112)</f>
        <v/>
      </c>
      <c r="CF112" s="152">
        <f>G112+K112+O112+S112+W112+AA112+AE112+AI112+AM112+AQ112+AU112+AY112+BC112+BG112+BK112+BO112+BS112+BW112+CA112+CE112</f>
        <v/>
      </c>
      <c r="CG112" s="159">
        <f>E112+I112+M112+Q112+U112+Y112+AC112+AG112+AK112+AO112+AS112+AW112+BA112+BE112+BI112+BM112+BQ112+BU112+BY112+CC112</f>
        <v/>
      </c>
      <c r="CH112" s="152">
        <f>CH111+CG112</f>
        <v/>
      </c>
      <c r="CI112" s="148" t="n"/>
      <c r="CJ112" s="148" t="n"/>
    </row>
    <row r="113" ht="15" customHeight="1" s="83">
      <c r="A113" s="148" t="n"/>
      <c r="B113" s="158" t="n">
        <v>109</v>
      </c>
      <c r="C113" s="152">
        <f>F113+J113+N113+R113+V113+Z113+AD113+AH113+AL113+AP113+AT113+AX113+BB113+BF113+BJ113+BN113+BR113+BV113+BZ113+CD113</f>
        <v/>
      </c>
      <c r="D113" s="152">
        <f>G112</f>
        <v/>
      </c>
      <c r="E113" s="159">
        <f>IF(D113&gt;0.005,D113*Debts!D8/12,0)</f>
        <v/>
      </c>
      <c r="F113" s="159" t="n">
        <v>0</v>
      </c>
      <c r="G113" s="152">
        <f>MAX(0,D113+E113-F113)</f>
        <v/>
      </c>
      <c r="H113" s="152">
        <f>K112</f>
        <v/>
      </c>
      <c r="I113" s="159">
        <f>IF(H113&gt;0.005,H113*Debts!D9/12,0)</f>
        <v/>
      </c>
      <c r="J113" s="159" t="n">
        <v>0</v>
      </c>
      <c r="K113" s="152">
        <f>MAX(0,H113+I113-J113)</f>
        <v/>
      </c>
      <c r="L113" s="152">
        <f>O112</f>
        <v/>
      </c>
      <c r="M113" s="159">
        <f>IF(L113&gt;0.005,L113*Debts!D10/12,0)</f>
        <v/>
      </c>
      <c r="N113" s="159" t="n">
        <v>0</v>
      </c>
      <c r="O113" s="152">
        <f>MAX(0,L113+M113-N113)</f>
        <v/>
      </c>
      <c r="P113" s="152">
        <f>S112</f>
        <v/>
      </c>
      <c r="Q113" s="159">
        <f>IF(P113&gt;0.005,P113*Debts!D11/12,0)</f>
        <v/>
      </c>
      <c r="R113" s="159" t="n">
        <v>0</v>
      </c>
      <c r="S113" s="152">
        <f>MAX(0,P113+Q113-R113)</f>
        <v/>
      </c>
      <c r="T113" s="152">
        <f>W112</f>
        <v/>
      </c>
      <c r="U113" s="159">
        <f>IF(T113&gt;0.005,T113*Debts!D12/12,0)</f>
        <v/>
      </c>
      <c r="V113" s="159" t="n">
        <v>0</v>
      </c>
      <c r="W113" s="152">
        <f>MAX(0,T113+U113-V113)</f>
        <v/>
      </c>
      <c r="X113" s="152">
        <f>AA112</f>
        <v/>
      </c>
      <c r="Y113" s="159">
        <f>IF(X113&gt;0.005,X113*Debts!D13/12,0)</f>
        <v/>
      </c>
      <c r="Z113" s="159" t="n">
        <v>0</v>
      </c>
      <c r="AA113" s="152">
        <f>MAX(0,X113+Y113-Z113)</f>
        <v/>
      </c>
      <c r="AB113" s="152">
        <f>AE112</f>
        <v/>
      </c>
      <c r="AC113" s="159">
        <f>IF(AB113&gt;0.005,AB113*Debts!D14/12,0)</f>
        <v/>
      </c>
      <c r="AD113" s="159" t="n">
        <v>0</v>
      </c>
      <c r="AE113" s="152">
        <f>MAX(0,AB113+AC113-AD113)</f>
        <v/>
      </c>
      <c r="AF113" s="152">
        <f>AI112</f>
        <v/>
      </c>
      <c r="AG113" s="159">
        <f>IF(AF113&gt;0.005,AF113*Debts!D15/12,0)</f>
        <v/>
      </c>
      <c r="AH113" s="159" t="n">
        <v>0</v>
      </c>
      <c r="AI113" s="152">
        <f>MAX(0,AF113+AG113-AH113)</f>
        <v/>
      </c>
      <c r="AJ113" s="152">
        <f>AM112</f>
        <v/>
      </c>
      <c r="AK113" s="159">
        <f>IF(AJ113&gt;0.005,AJ113*Debts!D16/12,0)</f>
        <v/>
      </c>
      <c r="AL113" s="159" t="n">
        <v>0</v>
      </c>
      <c r="AM113" s="152">
        <f>MAX(0,AJ113+AK113-AL113)</f>
        <v/>
      </c>
      <c r="AN113" s="152">
        <f>AQ112</f>
        <v/>
      </c>
      <c r="AO113" s="159">
        <f>IF(AN113&gt;0.005,AN113*Debts!D17/12,0)</f>
        <v/>
      </c>
      <c r="AP113" s="159" t="n">
        <v>0</v>
      </c>
      <c r="AQ113" s="152">
        <f>MAX(0,AN113+AO113-AP113)</f>
        <v/>
      </c>
      <c r="AR113" s="152">
        <f>AU112</f>
        <v/>
      </c>
      <c r="AS113" s="159">
        <f>IF(AR113&gt;0.005,AR113*Debts!D18/12,0)</f>
        <v/>
      </c>
      <c r="AT113" s="159" t="n">
        <v>0</v>
      </c>
      <c r="AU113" s="152">
        <f>MAX(0,AR113+AS113-AT113)</f>
        <v/>
      </c>
      <c r="AV113" s="152">
        <f>AY112</f>
        <v/>
      </c>
      <c r="AW113" s="159">
        <f>IF(AV113&gt;0.005,AV113*Debts!D19/12,0)</f>
        <v/>
      </c>
      <c r="AX113" s="159" t="n">
        <v>0</v>
      </c>
      <c r="AY113" s="152">
        <f>MAX(0,AV113+AW113-AX113)</f>
        <v/>
      </c>
      <c r="AZ113" s="152">
        <f>BC112</f>
        <v/>
      </c>
      <c r="BA113" s="159">
        <f>IF(AZ113&gt;0.005,AZ113*Debts!D20/12,0)</f>
        <v/>
      </c>
      <c r="BB113" s="159" t="n">
        <v>0</v>
      </c>
      <c r="BC113" s="152">
        <f>MAX(0,AZ113+BA113-BB113)</f>
        <v/>
      </c>
      <c r="BD113" s="152">
        <f>BG112</f>
        <v/>
      </c>
      <c r="BE113" s="159">
        <f>IF(BD113&gt;0.005,BD113*Debts!D21/12,0)</f>
        <v/>
      </c>
      <c r="BF113" s="159" t="n">
        <v>0</v>
      </c>
      <c r="BG113" s="152">
        <f>MAX(0,BD113+BE113-BF113)</f>
        <v/>
      </c>
      <c r="BH113" s="152">
        <f>BK112</f>
        <v/>
      </c>
      <c r="BI113" s="159">
        <f>IF(BH113&gt;0.005,BH113*Debts!D22/12,0)</f>
        <v/>
      </c>
      <c r="BJ113" s="159" t="n">
        <v>0</v>
      </c>
      <c r="BK113" s="152">
        <f>MAX(0,BH113+BI113-BJ113)</f>
        <v/>
      </c>
      <c r="BL113" s="152">
        <f>BO112</f>
        <v/>
      </c>
      <c r="BM113" s="159">
        <f>IF(BL113&gt;0.005,BL113*Debts!D23/12,0)</f>
        <v/>
      </c>
      <c r="BN113" s="159" t="n">
        <v>0</v>
      </c>
      <c r="BO113" s="152">
        <f>MAX(0,BL113+BM113-BN113)</f>
        <v/>
      </c>
      <c r="BP113" s="152">
        <f>BS112</f>
        <v/>
      </c>
      <c r="BQ113" s="159">
        <f>IF(BP113&gt;0.005,BP113*Debts!D24/12,0)</f>
        <v/>
      </c>
      <c r="BR113" s="159" t="n">
        <v>0</v>
      </c>
      <c r="BS113" s="152">
        <f>MAX(0,BP113+BQ113-BR113)</f>
        <v/>
      </c>
      <c r="BT113" s="152">
        <f>BW112</f>
        <v/>
      </c>
      <c r="BU113" s="159">
        <f>IF(BT113&gt;0.005,BT113*Debts!D25/12,0)</f>
        <v/>
      </c>
      <c r="BV113" s="159" t="n">
        <v>0</v>
      </c>
      <c r="BW113" s="152">
        <f>MAX(0,BT113+BU113-BV113)</f>
        <v/>
      </c>
      <c r="BX113" s="152">
        <f>CA112</f>
        <v/>
      </c>
      <c r="BY113" s="159">
        <f>IF(BX113&gt;0.005,BX113*Debts!D26/12,0)</f>
        <v/>
      </c>
      <c r="BZ113" s="159" t="n">
        <v>0</v>
      </c>
      <c r="CA113" s="152">
        <f>MAX(0,BX113+BY113-BZ113)</f>
        <v/>
      </c>
      <c r="CB113" s="152">
        <f>CE112</f>
        <v/>
      </c>
      <c r="CC113" s="159">
        <f>IF(CB113&gt;0.005,CB113*Debts!D27/12,0)</f>
        <v/>
      </c>
      <c r="CD113" s="159" t="n">
        <v>0</v>
      </c>
      <c r="CE113" s="152">
        <f>MAX(0,CB113+CC113-CD113)</f>
        <v/>
      </c>
      <c r="CF113" s="152">
        <f>G113+K113+O113+S113+W113+AA113+AE113+AI113+AM113+AQ113+AU113+AY113+BC113+BG113+BK113+BO113+BS113+BW113+CA113+CE113</f>
        <v/>
      </c>
      <c r="CG113" s="159">
        <f>E113+I113+M113+Q113+U113+Y113+AC113+AG113+AK113+AO113+AS113+AW113+BA113+BE113+BI113+BM113+BQ113+BU113+BY113+CC113</f>
        <v/>
      </c>
      <c r="CH113" s="152">
        <f>CH112+CG113</f>
        <v/>
      </c>
      <c r="CI113" s="148" t="n"/>
      <c r="CJ113" s="148" t="n"/>
    </row>
    <row r="114" ht="15" customHeight="1" s="83">
      <c r="A114" s="148" t="n"/>
      <c r="B114" s="158" t="n">
        <v>110</v>
      </c>
      <c r="C114" s="152">
        <f>F114+J114+N114+R114+V114+Z114+AD114+AH114+AL114+AP114+AT114+AX114+BB114+BF114+BJ114+BN114+BR114+BV114+BZ114+CD114</f>
        <v/>
      </c>
      <c r="D114" s="152">
        <f>G113</f>
        <v/>
      </c>
      <c r="E114" s="159">
        <f>IF(D114&gt;0.005,D114*Debts!D8/12,0)</f>
        <v/>
      </c>
      <c r="F114" s="159" t="n">
        <v>0</v>
      </c>
      <c r="G114" s="152">
        <f>MAX(0,D114+E114-F114)</f>
        <v/>
      </c>
      <c r="H114" s="152">
        <f>K113</f>
        <v/>
      </c>
      <c r="I114" s="159">
        <f>IF(H114&gt;0.005,H114*Debts!D9/12,0)</f>
        <v/>
      </c>
      <c r="J114" s="159" t="n">
        <v>0</v>
      </c>
      <c r="K114" s="152">
        <f>MAX(0,H114+I114-J114)</f>
        <v/>
      </c>
      <c r="L114" s="152">
        <f>O113</f>
        <v/>
      </c>
      <c r="M114" s="159">
        <f>IF(L114&gt;0.005,L114*Debts!D10/12,0)</f>
        <v/>
      </c>
      <c r="N114" s="159" t="n">
        <v>0</v>
      </c>
      <c r="O114" s="152">
        <f>MAX(0,L114+M114-N114)</f>
        <v/>
      </c>
      <c r="P114" s="152">
        <f>S113</f>
        <v/>
      </c>
      <c r="Q114" s="159">
        <f>IF(P114&gt;0.005,P114*Debts!D11/12,0)</f>
        <v/>
      </c>
      <c r="R114" s="159" t="n">
        <v>0</v>
      </c>
      <c r="S114" s="152">
        <f>MAX(0,P114+Q114-R114)</f>
        <v/>
      </c>
      <c r="T114" s="152">
        <f>W113</f>
        <v/>
      </c>
      <c r="U114" s="159">
        <f>IF(T114&gt;0.005,T114*Debts!D12/12,0)</f>
        <v/>
      </c>
      <c r="V114" s="159" t="n">
        <v>0</v>
      </c>
      <c r="W114" s="152">
        <f>MAX(0,T114+U114-V114)</f>
        <v/>
      </c>
      <c r="X114" s="152">
        <f>AA113</f>
        <v/>
      </c>
      <c r="Y114" s="159">
        <f>IF(X114&gt;0.005,X114*Debts!D13/12,0)</f>
        <v/>
      </c>
      <c r="Z114" s="159" t="n">
        <v>0</v>
      </c>
      <c r="AA114" s="152">
        <f>MAX(0,X114+Y114-Z114)</f>
        <v/>
      </c>
      <c r="AB114" s="152">
        <f>AE113</f>
        <v/>
      </c>
      <c r="AC114" s="159">
        <f>IF(AB114&gt;0.005,AB114*Debts!D14/12,0)</f>
        <v/>
      </c>
      <c r="AD114" s="159" t="n">
        <v>0</v>
      </c>
      <c r="AE114" s="152">
        <f>MAX(0,AB114+AC114-AD114)</f>
        <v/>
      </c>
      <c r="AF114" s="152">
        <f>AI113</f>
        <v/>
      </c>
      <c r="AG114" s="159">
        <f>IF(AF114&gt;0.005,AF114*Debts!D15/12,0)</f>
        <v/>
      </c>
      <c r="AH114" s="159" t="n">
        <v>0</v>
      </c>
      <c r="AI114" s="152">
        <f>MAX(0,AF114+AG114-AH114)</f>
        <v/>
      </c>
      <c r="AJ114" s="152">
        <f>AM113</f>
        <v/>
      </c>
      <c r="AK114" s="159">
        <f>IF(AJ114&gt;0.005,AJ114*Debts!D16/12,0)</f>
        <v/>
      </c>
      <c r="AL114" s="159" t="n">
        <v>0</v>
      </c>
      <c r="AM114" s="152">
        <f>MAX(0,AJ114+AK114-AL114)</f>
        <v/>
      </c>
      <c r="AN114" s="152">
        <f>AQ113</f>
        <v/>
      </c>
      <c r="AO114" s="159">
        <f>IF(AN114&gt;0.005,AN114*Debts!D17/12,0)</f>
        <v/>
      </c>
      <c r="AP114" s="159" t="n">
        <v>0</v>
      </c>
      <c r="AQ114" s="152">
        <f>MAX(0,AN114+AO114-AP114)</f>
        <v/>
      </c>
      <c r="AR114" s="152">
        <f>AU113</f>
        <v/>
      </c>
      <c r="AS114" s="159">
        <f>IF(AR114&gt;0.005,AR114*Debts!D18/12,0)</f>
        <v/>
      </c>
      <c r="AT114" s="159" t="n">
        <v>0</v>
      </c>
      <c r="AU114" s="152">
        <f>MAX(0,AR114+AS114-AT114)</f>
        <v/>
      </c>
      <c r="AV114" s="152">
        <f>AY113</f>
        <v/>
      </c>
      <c r="AW114" s="159">
        <f>IF(AV114&gt;0.005,AV114*Debts!D19/12,0)</f>
        <v/>
      </c>
      <c r="AX114" s="159" t="n">
        <v>0</v>
      </c>
      <c r="AY114" s="152">
        <f>MAX(0,AV114+AW114-AX114)</f>
        <v/>
      </c>
      <c r="AZ114" s="152">
        <f>BC113</f>
        <v/>
      </c>
      <c r="BA114" s="159">
        <f>IF(AZ114&gt;0.005,AZ114*Debts!D20/12,0)</f>
        <v/>
      </c>
      <c r="BB114" s="159" t="n">
        <v>0</v>
      </c>
      <c r="BC114" s="152">
        <f>MAX(0,AZ114+BA114-BB114)</f>
        <v/>
      </c>
      <c r="BD114" s="152">
        <f>BG113</f>
        <v/>
      </c>
      <c r="BE114" s="159">
        <f>IF(BD114&gt;0.005,BD114*Debts!D21/12,0)</f>
        <v/>
      </c>
      <c r="BF114" s="159" t="n">
        <v>0</v>
      </c>
      <c r="BG114" s="152">
        <f>MAX(0,BD114+BE114-BF114)</f>
        <v/>
      </c>
      <c r="BH114" s="152">
        <f>BK113</f>
        <v/>
      </c>
      <c r="BI114" s="159">
        <f>IF(BH114&gt;0.005,BH114*Debts!D22/12,0)</f>
        <v/>
      </c>
      <c r="BJ114" s="159" t="n">
        <v>0</v>
      </c>
      <c r="BK114" s="152">
        <f>MAX(0,BH114+BI114-BJ114)</f>
        <v/>
      </c>
      <c r="BL114" s="152">
        <f>BO113</f>
        <v/>
      </c>
      <c r="BM114" s="159">
        <f>IF(BL114&gt;0.005,BL114*Debts!D23/12,0)</f>
        <v/>
      </c>
      <c r="BN114" s="159" t="n">
        <v>0</v>
      </c>
      <c r="BO114" s="152">
        <f>MAX(0,BL114+BM114-BN114)</f>
        <v/>
      </c>
      <c r="BP114" s="152">
        <f>BS113</f>
        <v/>
      </c>
      <c r="BQ114" s="159">
        <f>IF(BP114&gt;0.005,BP114*Debts!D24/12,0)</f>
        <v/>
      </c>
      <c r="BR114" s="159" t="n">
        <v>0</v>
      </c>
      <c r="BS114" s="152">
        <f>MAX(0,BP114+BQ114-BR114)</f>
        <v/>
      </c>
      <c r="BT114" s="152">
        <f>BW113</f>
        <v/>
      </c>
      <c r="BU114" s="159">
        <f>IF(BT114&gt;0.005,BT114*Debts!D25/12,0)</f>
        <v/>
      </c>
      <c r="BV114" s="159" t="n">
        <v>0</v>
      </c>
      <c r="BW114" s="152">
        <f>MAX(0,BT114+BU114-BV114)</f>
        <v/>
      </c>
      <c r="BX114" s="152">
        <f>CA113</f>
        <v/>
      </c>
      <c r="BY114" s="159">
        <f>IF(BX114&gt;0.005,BX114*Debts!D26/12,0)</f>
        <v/>
      </c>
      <c r="BZ114" s="159" t="n">
        <v>0</v>
      </c>
      <c r="CA114" s="152">
        <f>MAX(0,BX114+BY114-BZ114)</f>
        <v/>
      </c>
      <c r="CB114" s="152">
        <f>CE113</f>
        <v/>
      </c>
      <c r="CC114" s="159">
        <f>IF(CB114&gt;0.005,CB114*Debts!D27/12,0)</f>
        <v/>
      </c>
      <c r="CD114" s="159" t="n">
        <v>0</v>
      </c>
      <c r="CE114" s="152">
        <f>MAX(0,CB114+CC114-CD114)</f>
        <v/>
      </c>
      <c r="CF114" s="152">
        <f>G114+K114+O114+S114+W114+AA114+AE114+AI114+AM114+AQ114+AU114+AY114+BC114+BG114+BK114+BO114+BS114+BW114+CA114+CE114</f>
        <v/>
      </c>
      <c r="CG114" s="159">
        <f>E114+I114+M114+Q114+U114+Y114+AC114+AG114+AK114+AO114+AS114+AW114+BA114+BE114+BI114+BM114+BQ114+BU114+BY114+CC114</f>
        <v/>
      </c>
      <c r="CH114" s="152">
        <f>CH113+CG114</f>
        <v/>
      </c>
      <c r="CI114" s="148" t="n"/>
      <c r="CJ114" s="148" t="n"/>
    </row>
    <row r="115" ht="15" customHeight="1" s="83">
      <c r="A115" s="148" t="n"/>
      <c r="B115" s="158" t="n">
        <v>111</v>
      </c>
      <c r="C115" s="152">
        <f>F115+J115+N115+R115+V115+Z115+AD115+AH115+AL115+AP115+AT115+AX115+BB115+BF115+BJ115+BN115+BR115+BV115+BZ115+CD115</f>
        <v/>
      </c>
      <c r="D115" s="152">
        <f>G114</f>
        <v/>
      </c>
      <c r="E115" s="159">
        <f>IF(D115&gt;0.005,D115*Debts!D8/12,0)</f>
        <v/>
      </c>
      <c r="F115" s="159" t="n">
        <v>0</v>
      </c>
      <c r="G115" s="152">
        <f>MAX(0,D115+E115-F115)</f>
        <v/>
      </c>
      <c r="H115" s="152">
        <f>K114</f>
        <v/>
      </c>
      <c r="I115" s="159">
        <f>IF(H115&gt;0.005,H115*Debts!D9/12,0)</f>
        <v/>
      </c>
      <c r="J115" s="159" t="n">
        <v>0</v>
      </c>
      <c r="K115" s="152">
        <f>MAX(0,H115+I115-J115)</f>
        <v/>
      </c>
      <c r="L115" s="152">
        <f>O114</f>
        <v/>
      </c>
      <c r="M115" s="159">
        <f>IF(L115&gt;0.005,L115*Debts!D10/12,0)</f>
        <v/>
      </c>
      <c r="N115" s="159" t="n">
        <v>0</v>
      </c>
      <c r="O115" s="152">
        <f>MAX(0,L115+M115-N115)</f>
        <v/>
      </c>
      <c r="P115" s="152">
        <f>S114</f>
        <v/>
      </c>
      <c r="Q115" s="159">
        <f>IF(P115&gt;0.005,P115*Debts!D11/12,0)</f>
        <v/>
      </c>
      <c r="R115" s="159" t="n">
        <v>0</v>
      </c>
      <c r="S115" s="152">
        <f>MAX(0,P115+Q115-R115)</f>
        <v/>
      </c>
      <c r="T115" s="152">
        <f>W114</f>
        <v/>
      </c>
      <c r="U115" s="159">
        <f>IF(T115&gt;0.005,T115*Debts!D12/12,0)</f>
        <v/>
      </c>
      <c r="V115" s="159" t="n">
        <v>0</v>
      </c>
      <c r="W115" s="152">
        <f>MAX(0,T115+U115-V115)</f>
        <v/>
      </c>
      <c r="X115" s="152">
        <f>AA114</f>
        <v/>
      </c>
      <c r="Y115" s="159">
        <f>IF(X115&gt;0.005,X115*Debts!D13/12,0)</f>
        <v/>
      </c>
      <c r="Z115" s="159" t="n">
        <v>0</v>
      </c>
      <c r="AA115" s="152">
        <f>MAX(0,X115+Y115-Z115)</f>
        <v/>
      </c>
      <c r="AB115" s="152">
        <f>AE114</f>
        <v/>
      </c>
      <c r="AC115" s="159">
        <f>IF(AB115&gt;0.005,AB115*Debts!D14/12,0)</f>
        <v/>
      </c>
      <c r="AD115" s="159" t="n">
        <v>0</v>
      </c>
      <c r="AE115" s="152">
        <f>MAX(0,AB115+AC115-AD115)</f>
        <v/>
      </c>
      <c r="AF115" s="152">
        <f>AI114</f>
        <v/>
      </c>
      <c r="AG115" s="159">
        <f>IF(AF115&gt;0.005,AF115*Debts!D15/12,0)</f>
        <v/>
      </c>
      <c r="AH115" s="159" t="n">
        <v>0</v>
      </c>
      <c r="AI115" s="152">
        <f>MAX(0,AF115+AG115-AH115)</f>
        <v/>
      </c>
      <c r="AJ115" s="152">
        <f>AM114</f>
        <v/>
      </c>
      <c r="AK115" s="159">
        <f>IF(AJ115&gt;0.005,AJ115*Debts!D16/12,0)</f>
        <v/>
      </c>
      <c r="AL115" s="159" t="n">
        <v>0</v>
      </c>
      <c r="AM115" s="152">
        <f>MAX(0,AJ115+AK115-AL115)</f>
        <v/>
      </c>
      <c r="AN115" s="152">
        <f>AQ114</f>
        <v/>
      </c>
      <c r="AO115" s="159">
        <f>IF(AN115&gt;0.005,AN115*Debts!D17/12,0)</f>
        <v/>
      </c>
      <c r="AP115" s="159" t="n">
        <v>0</v>
      </c>
      <c r="AQ115" s="152">
        <f>MAX(0,AN115+AO115-AP115)</f>
        <v/>
      </c>
      <c r="AR115" s="152">
        <f>AU114</f>
        <v/>
      </c>
      <c r="AS115" s="159">
        <f>IF(AR115&gt;0.005,AR115*Debts!D18/12,0)</f>
        <v/>
      </c>
      <c r="AT115" s="159" t="n">
        <v>0</v>
      </c>
      <c r="AU115" s="152">
        <f>MAX(0,AR115+AS115-AT115)</f>
        <v/>
      </c>
      <c r="AV115" s="152">
        <f>AY114</f>
        <v/>
      </c>
      <c r="AW115" s="159">
        <f>IF(AV115&gt;0.005,AV115*Debts!D19/12,0)</f>
        <v/>
      </c>
      <c r="AX115" s="159" t="n">
        <v>0</v>
      </c>
      <c r="AY115" s="152">
        <f>MAX(0,AV115+AW115-AX115)</f>
        <v/>
      </c>
      <c r="AZ115" s="152">
        <f>BC114</f>
        <v/>
      </c>
      <c r="BA115" s="159">
        <f>IF(AZ115&gt;0.005,AZ115*Debts!D20/12,0)</f>
        <v/>
      </c>
      <c r="BB115" s="159" t="n">
        <v>0</v>
      </c>
      <c r="BC115" s="152">
        <f>MAX(0,AZ115+BA115-BB115)</f>
        <v/>
      </c>
      <c r="BD115" s="152">
        <f>BG114</f>
        <v/>
      </c>
      <c r="BE115" s="159">
        <f>IF(BD115&gt;0.005,BD115*Debts!D21/12,0)</f>
        <v/>
      </c>
      <c r="BF115" s="159" t="n">
        <v>0</v>
      </c>
      <c r="BG115" s="152">
        <f>MAX(0,BD115+BE115-BF115)</f>
        <v/>
      </c>
      <c r="BH115" s="152">
        <f>BK114</f>
        <v/>
      </c>
      <c r="BI115" s="159">
        <f>IF(BH115&gt;0.005,BH115*Debts!D22/12,0)</f>
        <v/>
      </c>
      <c r="BJ115" s="159" t="n">
        <v>0</v>
      </c>
      <c r="BK115" s="152">
        <f>MAX(0,BH115+BI115-BJ115)</f>
        <v/>
      </c>
      <c r="BL115" s="152">
        <f>BO114</f>
        <v/>
      </c>
      <c r="BM115" s="159">
        <f>IF(BL115&gt;0.005,BL115*Debts!D23/12,0)</f>
        <v/>
      </c>
      <c r="BN115" s="159" t="n">
        <v>0</v>
      </c>
      <c r="BO115" s="152">
        <f>MAX(0,BL115+BM115-BN115)</f>
        <v/>
      </c>
      <c r="BP115" s="152">
        <f>BS114</f>
        <v/>
      </c>
      <c r="BQ115" s="159">
        <f>IF(BP115&gt;0.005,BP115*Debts!D24/12,0)</f>
        <v/>
      </c>
      <c r="BR115" s="159" t="n">
        <v>0</v>
      </c>
      <c r="BS115" s="152">
        <f>MAX(0,BP115+BQ115-BR115)</f>
        <v/>
      </c>
      <c r="BT115" s="152">
        <f>BW114</f>
        <v/>
      </c>
      <c r="BU115" s="159">
        <f>IF(BT115&gt;0.005,BT115*Debts!D25/12,0)</f>
        <v/>
      </c>
      <c r="BV115" s="159" t="n">
        <v>0</v>
      </c>
      <c r="BW115" s="152">
        <f>MAX(0,BT115+BU115-BV115)</f>
        <v/>
      </c>
      <c r="BX115" s="152">
        <f>CA114</f>
        <v/>
      </c>
      <c r="BY115" s="159">
        <f>IF(BX115&gt;0.005,BX115*Debts!D26/12,0)</f>
        <v/>
      </c>
      <c r="BZ115" s="159" t="n">
        <v>0</v>
      </c>
      <c r="CA115" s="152">
        <f>MAX(0,BX115+BY115-BZ115)</f>
        <v/>
      </c>
      <c r="CB115" s="152">
        <f>CE114</f>
        <v/>
      </c>
      <c r="CC115" s="159">
        <f>IF(CB115&gt;0.005,CB115*Debts!D27/12,0)</f>
        <v/>
      </c>
      <c r="CD115" s="159" t="n">
        <v>0</v>
      </c>
      <c r="CE115" s="152">
        <f>MAX(0,CB115+CC115-CD115)</f>
        <v/>
      </c>
      <c r="CF115" s="152">
        <f>G115+K115+O115+S115+W115+AA115+AE115+AI115+AM115+AQ115+AU115+AY115+BC115+BG115+BK115+BO115+BS115+BW115+CA115+CE115</f>
        <v/>
      </c>
      <c r="CG115" s="159">
        <f>E115+I115+M115+Q115+U115+Y115+AC115+AG115+AK115+AO115+AS115+AW115+BA115+BE115+BI115+BM115+BQ115+BU115+BY115+CC115</f>
        <v/>
      </c>
      <c r="CH115" s="152">
        <f>CH114+CG115</f>
        <v/>
      </c>
      <c r="CI115" s="148" t="n"/>
      <c r="CJ115" s="148" t="n"/>
    </row>
    <row r="116" ht="15" customHeight="1" s="83">
      <c r="A116" s="148" t="n"/>
      <c r="B116" s="158" t="n">
        <v>112</v>
      </c>
      <c r="C116" s="152">
        <f>F116+J116+N116+R116+V116+Z116+AD116+AH116+AL116+AP116+AT116+AX116+BB116+BF116+BJ116+BN116+BR116+BV116+BZ116+CD116</f>
        <v/>
      </c>
      <c r="D116" s="152">
        <f>G115</f>
        <v/>
      </c>
      <c r="E116" s="159">
        <f>IF(D116&gt;0.005,D116*Debts!D8/12,0)</f>
        <v/>
      </c>
      <c r="F116" s="159" t="n">
        <v>0</v>
      </c>
      <c r="G116" s="152">
        <f>MAX(0,D116+E116-F116)</f>
        <v/>
      </c>
      <c r="H116" s="152">
        <f>K115</f>
        <v/>
      </c>
      <c r="I116" s="159">
        <f>IF(H116&gt;0.005,H116*Debts!D9/12,0)</f>
        <v/>
      </c>
      <c r="J116" s="159" t="n">
        <v>0</v>
      </c>
      <c r="K116" s="152">
        <f>MAX(0,H116+I116-J116)</f>
        <v/>
      </c>
      <c r="L116" s="152">
        <f>O115</f>
        <v/>
      </c>
      <c r="M116" s="159">
        <f>IF(L116&gt;0.005,L116*Debts!D10/12,0)</f>
        <v/>
      </c>
      <c r="N116" s="159" t="n">
        <v>0</v>
      </c>
      <c r="O116" s="152">
        <f>MAX(0,L116+M116-N116)</f>
        <v/>
      </c>
      <c r="P116" s="152">
        <f>S115</f>
        <v/>
      </c>
      <c r="Q116" s="159">
        <f>IF(P116&gt;0.005,P116*Debts!D11/12,0)</f>
        <v/>
      </c>
      <c r="R116" s="159" t="n">
        <v>0</v>
      </c>
      <c r="S116" s="152">
        <f>MAX(0,P116+Q116-R116)</f>
        <v/>
      </c>
      <c r="T116" s="152">
        <f>W115</f>
        <v/>
      </c>
      <c r="U116" s="159">
        <f>IF(T116&gt;0.005,T116*Debts!D12/12,0)</f>
        <v/>
      </c>
      <c r="V116" s="159" t="n">
        <v>0</v>
      </c>
      <c r="W116" s="152">
        <f>MAX(0,T116+U116-V116)</f>
        <v/>
      </c>
      <c r="X116" s="152">
        <f>AA115</f>
        <v/>
      </c>
      <c r="Y116" s="159">
        <f>IF(X116&gt;0.005,X116*Debts!D13/12,0)</f>
        <v/>
      </c>
      <c r="Z116" s="159" t="n">
        <v>0</v>
      </c>
      <c r="AA116" s="152">
        <f>MAX(0,X116+Y116-Z116)</f>
        <v/>
      </c>
      <c r="AB116" s="152">
        <f>AE115</f>
        <v/>
      </c>
      <c r="AC116" s="159">
        <f>IF(AB116&gt;0.005,AB116*Debts!D14/12,0)</f>
        <v/>
      </c>
      <c r="AD116" s="159" t="n">
        <v>0</v>
      </c>
      <c r="AE116" s="152">
        <f>MAX(0,AB116+AC116-AD116)</f>
        <v/>
      </c>
      <c r="AF116" s="152">
        <f>AI115</f>
        <v/>
      </c>
      <c r="AG116" s="159">
        <f>IF(AF116&gt;0.005,AF116*Debts!D15/12,0)</f>
        <v/>
      </c>
      <c r="AH116" s="159" t="n">
        <v>0</v>
      </c>
      <c r="AI116" s="152">
        <f>MAX(0,AF116+AG116-AH116)</f>
        <v/>
      </c>
      <c r="AJ116" s="152">
        <f>AM115</f>
        <v/>
      </c>
      <c r="AK116" s="159">
        <f>IF(AJ116&gt;0.005,AJ116*Debts!D16/12,0)</f>
        <v/>
      </c>
      <c r="AL116" s="159" t="n">
        <v>0</v>
      </c>
      <c r="AM116" s="152">
        <f>MAX(0,AJ116+AK116-AL116)</f>
        <v/>
      </c>
      <c r="AN116" s="152">
        <f>AQ115</f>
        <v/>
      </c>
      <c r="AO116" s="159">
        <f>IF(AN116&gt;0.005,AN116*Debts!D17/12,0)</f>
        <v/>
      </c>
      <c r="AP116" s="159" t="n">
        <v>0</v>
      </c>
      <c r="AQ116" s="152">
        <f>MAX(0,AN116+AO116-AP116)</f>
        <v/>
      </c>
      <c r="AR116" s="152">
        <f>AU115</f>
        <v/>
      </c>
      <c r="AS116" s="159">
        <f>IF(AR116&gt;0.005,AR116*Debts!D18/12,0)</f>
        <v/>
      </c>
      <c r="AT116" s="159" t="n">
        <v>0</v>
      </c>
      <c r="AU116" s="152">
        <f>MAX(0,AR116+AS116-AT116)</f>
        <v/>
      </c>
      <c r="AV116" s="152">
        <f>AY115</f>
        <v/>
      </c>
      <c r="AW116" s="159">
        <f>IF(AV116&gt;0.005,AV116*Debts!D19/12,0)</f>
        <v/>
      </c>
      <c r="AX116" s="159" t="n">
        <v>0</v>
      </c>
      <c r="AY116" s="152">
        <f>MAX(0,AV116+AW116-AX116)</f>
        <v/>
      </c>
      <c r="AZ116" s="152">
        <f>BC115</f>
        <v/>
      </c>
      <c r="BA116" s="159">
        <f>IF(AZ116&gt;0.005,AZ116*Debts!D20/12,0)</f>
        <v/>
      </c>
      <c r="BB116" s="159" t="n">
        <v>0</v>
      </c>
      <c r="BC116" s="152">
        <f>MAX(0,AZ116+BA116-BB116)</f>
        <v/>
      </c>
      <c r="BD116" s="152">
        <f>BG115</f>
        <v/>
      </c>
      <c r="BE116" s="159">
        <f>IF(BD116&gt;0.005,BD116*Debts!D21/12,0)</f>
        <v/>
      </c>
      <c r="BF116" s="159" t="n">
        <v>0</v>
      </c>
      <c r="BG116" s="152">
        <f>MAX(0,BD116+BE116-BF116)</f>
        <v/>
      </c>
      <c r="BH116" s="152">
        <f>BK115</f>
        <v/>
      </c>
      <c r="BI116" s="159">
        <f>IF(BH116&gt;0.005,BH116*Debts!D22/12,0)</f>
        <v/>
      </c>
      <c r="BJ116" s="159" t="n">
        <v>0</v>
      </c>
      <c r="BK116" s="152">
        <f>MAX(0,BH116+BI116-BJ116)</f>
        <v/>
      </c>
      <c r="BL116" s="152">
        <f>BO115</f>
        <v/>
      </c>
      <c r="BM116" s="159">
        <f>IF(BL116&gt;0.005,BL116*Debts!D23/12,0)</f>
        <v/>
      </c>
      <c r="BN116" s="159" t="n">
        <v>0</v>
      </c>
      <c r="BO116" s="152">
        <f>MAX(0,BL116+BM116-BN116)</f>
        <v/>
      </c>
      <c r="BP116" s="152">
        <f>BS115</f>
        <v/>
      </c>
      <c r="BQ116" s="159">
        <f>IF(BP116&gt;0.005,BP116*Debts!D24/12,0)</f>
        <v/>
      </c>
      <c r="BR116" s="159" t="n">
        <v>0</v>
      </c>
      <c r="BS116" s="152">
        <f>MAX(0,BP116+BQ116-BR116)</f>
        <v/>
      </c>
      <c r="BT116" s="152">
        <f>BW115</f>
        <v/>
      </c>
      <c r="BU116" s="159">
        <f>IF(BT116&gt;0.005,BT116*Debts!D25/12,0)</f>
        <v/>
      </c>
      <c r="BV116" s="159" t="n">
        <v>0</v>
      </c>
      <c r="BW116" s="152">
        <f>MAX(0,BT116+BU116-BV116)</f>
        <v/>
      </c>
      <c r="BX116" s="152">
        <f>CA115</f>
        <v/>
      </c>
      <c r="BY116" s="159">
        <f>IF(BX116&gt;0.005,BX116*Debts!D26/12,0)</f>
        <v/>
      </c>
      <c r="BZ116" s="159" t="n">
        <v>0</v>
      </c>
      <c r="CA116" s="152">
        <f>MAX(0,BX116+BY116-BZ116)</f>
        <v/>
      </c>
      <c r="CB116" s="152">
        <f>CE115</f>
        <v/>
      </c>
      <c r="CC116" s="159">
        <f>IF(CB116&gt;0.005,CB116*Debts!D27/12,0)</f>
        <v/>
      </c>
      <c r="CD116" s="159" t="n">
        <v>0</v>
      </c>
      <c r="CE116" s="152">
        <f>MAX(0,CB116+CC116-CD116)</f>
        <v/>
      </c>
      <c r="CF116" s="152">
        <f>G116+K116+O116+S116+W116+AA116+AE116+AI116+AM116+AQ116+AU116+AY116+BC116+BG116+BK116+BO116+BS116+BW116+CA116+CE116</f>
        <v/>
      </c>
      <c r="CG116" s="159">
        <f>E116+I116+M116+Q116+U116+Y116+AC116+AG116+AK116+AO116+AS116+AW116+BA116+BE116+BI116+BM116+BQ116+BU116+BY116+CC116</f>
        <v/>
      </c>
      <c r="CH116" s="152">
        <f>CH115+CG116</f>
        <v/>
      </c>
      <c r="CI116" s="148" t="n"/>
      <c r="CJ116" s="148" t="n"/>
    </row>
    <row r="117" ht="15" customHeight="1" s="83">
      <c r="A117" s="148" t="n"/>
      <c r="B117" s="158" t="n">
        <v>113</v>
      </c>
      <c r="C117" s="152">
        <f>F117+J117+N117+R117+V117+Z117+AD117+AH117+AL117+AP117+AT117+AX117+BB117+BF117+BJ117+BN117+BR117+BV117+BZ117+CD117</f>
        <v/>
      </c>
      <c r="D117" s="152">
        <f>G116</f>
        <v/>
      </c>
      <c r="E117" s="159">
        <f>IF(D117&gt;0.005,D117*Debts!D8/12,0)</f>
        <v/>
      </c>
      <c r="F117" s="159" t="n">
        <v>0</v>
      </c>
      <c r="G117" s="152">
        <f>MAX(0,D117+E117-F117)</f>
        <v/>
      </c>
      <c r="H117" s="152">
        <f>K116</f>
        <v/>
      </c>
      <c r="I117" s="159">
        <f>IF(H117&gt;0.005,H117*Debts!D9/12,0)</f>
        <v/>
      </c>
      <c r="J117" s="159" t="n">
        <v>0</v>
      </c>
      <c r="K117" s="152">
        <f>MAX(0,H117+I117-J117)</f>
        <v/>
      </c>
      <c r="L117" s="152">
        <f>O116</f>
        <v/>
      </c>
      <c r="M117" s="159">
        <f>IF(L117&gt;0.005,L117*Debts!D10/12,0)</f>
        <v/>
      </c>
      <c r="N117" s="159" t="n">
        <v>0</v>
      </c>
      <c r="O117" s="152">
        <f>MAX(0,L117+M117-N117)</f>
        <v/>
      </c>
      <c r="P117" s="152">
        <f>S116</f>
        <v/>
      </c>
      <c r="Q117" s="159">
        <f>IF(P117&gt;0.005,P117*Debts!D11/12,0)</f>
        <v/>
      </c>
      <c r="R117" s="159" t="n">
        <v>0</v>
      </c>
      <c r="S117" s="152">
        <f>MAX(0,P117+Q117-R117)</f>
        <v/>
      </c>
      <c r="T117" s="152">
        <f>W116</f>
        <v/>
      </c>
      <c r="U117" s="159">
        <f>IF(T117&gt;0.005,T117*Debts!D12/12,0)</f>
        <v/>
      </c>
      <c r="V117" s="159" t="n">
        <v>0</v>
      </c>
      <c r="W117" s="152">
        <f>MAX(0,T117+U117-V117)</f>
        <v/>
      </c>
      <c r="X117" s="152">
        <f>AA116</f>
        <v/>
      </c>
      <c r="Y117" s="159">
        <f>IF(X117&gt;0.005,X117*Debts!D13/12,0)</f>
        <v/>
      </c>
      <c r="Z117" s="159" t="n">
        <v>0</v>
      </c>
      <c r="AA117" s="152">
        <f>MAX(0,X117+Y117-Z117)</f>
        <v/>
      </c>
      <c r="AB117" s="152">
        <f>AE116</f>
        <v/>
      </c>
      <c r="AC117" s="159">
        <f>IF(AB117&gt;0.005,AB117*Debts!D14/12,0)</f>
        <v/>
      </c>
      <c r="AD117" s="159" t="n">
        <v>0</v>
      </c>
      <c r="AE117" s="152">
        <f>MAX(0,AB117+AC117-AD117)</f>
        <v/>
      </c>
      <c r="AF117" s="152">
        <f>AI116</f>
        <v/>
      </c>
      <c r="AG117" s="159">
        <f>IF(AF117&gt;0.005,AF117*Debts!D15/12,0)</f>
        <v/>
      </c>
      <c r="AH117" s="159" t="n">
        <v>0</v>
      </c>
      <c r="AI117" s="152">
        <f>MAX(0,AF117+AG117-AH117)</f>
        <v/>
      </c>
      <c r="AJ117" s="152">
        <f>AM116</f>
        <v/>
      </c>
      <c r="AK117" s="159">
        <f>IF(AJ117&gt;0.005,AJ117*Debts!D16/12,0)</f>
        <v/>
      </c>
      <c r="AL117" s="159" t="n">
        <v>0</v>
      </c>
      <c r="AM117" s="152">
        <f>MAX(0,AJ117+AK117-AL117)</f>
        <v/>
      </c>
      <c r="AN117" s="152">
        <f>AQ116</f>
        <v/>
      </c>
      <c r="AO117" s="159">
        <f>IF(AN117&gt;0.005,AN117*Debts!D17/12,0)</f>
        <v/>
      </c>
      <c r="AP117" s="159" t="n">
        <v>0</v>
      </c>
      <c r="AQ117" s="152">
        <f>MAX(0,AN117+AO117-AP117)</f>
        <v/>
      </c>
      <c r="AR117" s="152">
        <f>AU116</f>
        <v/>
      </c>
      <c r="AS117" s="159">
        <f>IF(AR117&gt;0.005,AR117*Debts!D18/12,0)</f>
        <v/>
      </c>
      <c r="AT117" s="159" t="n">
        <v>0</v>
      </c>
      <c r="AU117" s="152">
        <f>MAX(0,AR117+AS117-AT117)</f>
        <v/>
      </c>
      <c r="AV117" s="152">
        <f>AY116</f>
        <v/>
      </c>
      <c r="AW117" s="159">
        <f>IF(AV117&gt;0.005,AV117*Debts!D19/12,0)</f>
        <v/>
      </c>
      <c r="AX117" s="159" t="n">
        <v>0</v>
      </c>
      <c r="AY117" s="152">
        <f>MAX(0,AV117+AW117-AX117)</f>
        <v/>
      </c>
      <c r="AZ117" s="152">
        <f>BC116</f>
        <v/>
      </c>
      <c r="BA117" s="159">
        <f>IF(AZ117&gt;0.005,AZ117*Debts!D20/12,0)</f>
        <v/>
      </c>
      <c r="BB117" s="159" t="n">
        <v>0</v>
      </c>
      <c r="BC117" s="152">
        <f>MAX(0,AZ117+BA117-BB117)</f>
        <v/>
      </c>
      <c r="BD117" s="152">
        <f>BG116</f>
        <v/>
      </c>
      <c r="BE117" s="159">
        <f>IF(BD117&gt;0.005,BD117*Debts!D21/12,0)</f>
        <v/>
      </c>
      <c r="BF117" s="159" t="n">
        <v>0</v>
      </c>
      <c r="BG117" s="152">
        <f>MAX(0,BD117+BE117-BF117)</f>
        <v/>
      </c>
      <c r="BH117" s="152">
        <f>BK116</f>
        <v/>
      </c>
      <c r="BI117" s="159">
        <f>IF(BH117&gt;0.005,BH117*Debts!D22/12,0)</f>
        <v/>
      </c>
      <c r="BJ117" s="159" t="n">
        <v>0</v>
      </c>
      <c r="BK117" s="152">
        <f>MAX(0,BH117+BI117-BJ117)</f>
        <v/>
      </c>
      <c r="BL117" s="152">
        <f>BO116</f>
        <v/>
      </c>
      <c r="BM117" s="159">
        <f>IF(BL117&gt;0.005,BL117*Debts!D23/12,0)</f>
        <v/>
      </c>
      <c r="BN117" s="159" t="n">
        <v>0</v>
      </c>
      <c r="BO117" s="152">
        <f>MAX(0,BL117+BM117-BN117)</f>
        <v/>
      </c>
      <c r="BP117" s="152">
        <f>BS116</f>
        <v/>
      </c>
      <c r="BQ117" s="159">
        <f>IF(BP117&gt;0.005,BP117*Debts!D24/12,0)</f>
        <v/>
      </c>
      <c r="BR117" s="159" t="n">
        <v>0</v>
      </c>
      <c r="BS117" s="152">
        <f>MAX(0,BP117+BQ117-BR117)</f>
        <v/>
      </c>
      <c r="BT117" s="152">
        <f>BW116</f>
        <v/>
      </c>
      <c r="BU117" s="159">
        <f>IF(BT117&gt;0.005,BT117*Debts!D25/12,0)</f>
        <v/>
      </c>
      <c r="BV117" s="159" t="n">
        <v>0</v>
      </c>
      <c r="BW117" s="152">
        <f>MAX(0,BT117+BU117-BV117)</f>
        <v/>
      </c>
      <c r="BX117" s="152">
        <f>CA116</f>
        <v/>
      </c>
      <c r="BY117" s="159">
        <f>IF(BX117&gt;0.005,BX117*Debts!D26/12,0)</f>
        <v/>
      </c>
      <c r="BZ117" s="159" t="n">
        <v>0</v>
      </c>
      <c r="CA117" s="152">
        <f>MAX(0,BX117+BY117-BZ117)</f>
        <v/>
      </c>
      <c r="CB117" s="152">
        <f>CE116</f>
        <v/>
      </c>
      <c r="CC117" s="159">
        <f>IF(CB117&gt;0.005,CB117*Debts!D27/12,0)</f>
        <v/>
      </c>
      <c r="CD117" s="159" t="n">
        <v>0</v>
      </c>
      <c r="CE117" s="152">
        <f>MAX(0,CB117+CC117-CD117)</f>
        <v/>
      </c>
      <c r="CF117" s="152">
        <f>G117+K117+O117+S117+W117+AA117+AE117+AI117+AM117+AQ117+AU117+AY117+BC117+BG117+BK117+BO117+BS117+BW117+CA117+CE117</f>
        <v/>
      </c>
      <c r="CG117" s="159">
        <f>E117+I117+M117+Q117+U117+Y117+AC117+AG117+AK117+AO117+AS117+AW117+BA117+BE117+BI117+BM117+BQ117+BU117+BY117+CC117</f>
        <v/>
      </c>
      <c r="CH117" s="152">
        <f>CH116+CG117</f>
        <v/>
      </c>
      <c r="CI117" s="148" t="n"/>
      <c r="CJ117" s="148" t="n"/>
    </row>
    <row r="118" ht="15" customHeight="1" s="83">
      <c r="A118" s="148" t="n"/>
      <c r="B118" s="158" t="n">
        <v>114</v>
      </c>
      <c r="C118" s="152">
        <f>F118+J118+N118+R118+V118+Z118+AD118+AH118+AL118+AP118+AT118+AX118+BB118+BF118+BJ118+BN118+BR118+BV118+BZ118+CD118</f>
        <v/>
      </c>
      <c r="D118" s="152">
        <f>G117</f>
        <v/>
      </c>
      <c r="E118" s="159">
        <f>IF(D118&gt;0.005,D118*Debts!D8/12,0)</f>
        <v/>
      </c>
      <c r="F118" s="159" t="n">
        <v>0</v>
      </c>
      <c r="G118" s="152">
        <f>MAX(0,D118+E118-F118)</f>
        <v/>
      </c>
      <c r="H118" s="152">
        <f>K117</f>
        <v/>
      </c>
      <c r="I118" s="159">
        <f>IF(H118&gt;0.005,H118*Debts!D9/12,0)</f>
        <v/>
      </c>
      <c r="J118" s="159" t="n">
        <v>0</v>
      </c>
      <c r="K118" s="152">
        <f>MAX(0,H118+I118-J118)</f>
        <v/>
      </c>
      <c r="L118" s="152">
        <f>O117</f>
        <v/>
      </c>
      <c r="M118" s="159">
        <f>IF(L118&gt;0.005,L118*Debts!D10/12,0)</f>
        <v/>
      </c>
      <c r="N118" s="159" t="n">
        <v>0</v>
      </c>
      <c r="O118" s="152">
        <f>MAX(0,L118+M118-N118)</f>
        <v/>
      </c>
      <c r="P118" s="152">
        <f>S117</f>
        <v/>
      </c>
      <c r="Q118" s="159">
        <f>IF(P118&gt;0.005,P118*Debts!D11/12,0)</f>
        <v/>
      </c>
      <c r="R118" s="159" t="n">
        <v>0</v>
      </c>
      <c r="S118" s="152">
        <f>MAX(0,P118+Q118-R118)</f>
        <v/>
      </c>
      <c r="T118" s="152">
        <f>W117</f>
        <v/>
      </c>
      <c r="U118" s="159">
        <f>IF(T118&gt;0.005,T118*Debts!D12/12,0)</f>
        <v/>
      </c>
      <c r="V118" s="159" t="n">
        <v>0</v>
      </c>
      <c r="W118" s="152">
        <f>MAX(0,T118+U118-V118)</f>
        <v/>
      </c>
      <c r="X118" s="152">
        <f>AA117</f>
        <v/>
      </c>
      <c r="Y118" s="159">
        <f>IF(X118&gt;0.005,X118*Debts!D13/12,0)</f>
        <v/>
      </c>
      <c r="Z118" s="159" t="n">
        <v>0</v>
      </c>
      <c r="AA118" s="152">
        <f>MAX(0,X118+Y118-Z118)</f>
        <v/>
      </c>
      <c r="AB118" s="152">
        <f>AE117</f>
        <v/>
      </c>
      <c r="AC118" s="159">
        <f>IF(AB118&gt;0.005,AB118*Debts!D14/12,0)</f>
        <v/>
      </c>
      <c r="AD118" s="159" t="n">
        <v>0</v>
      </c>
      <c r="AE118" s="152">
        <f>MAX(0,AB118+AC118-AD118)</f>
        <v/>
      </c>
      <c r="AF118" s="152">
        <f>AI117</f>
        <v/>
      </c>
      <c r="AG118" s="159">
        <f>IF(AF118&gt;0.005,AF118*Debts!D15/12,0)</f>
        <v/>
      </c>
      <c r="AH118" s="159" t="n">
        <v>0</v>
      </c>
      <c r="AI118" s="152">
        <f>MAX(0,AF118+AG118-AH118)</f>
        <v/>
      </c>
      <c r="AJ118" s="152">
        <f>AM117</f>
        <v/>
      </c>
      <c r="AK118" s="159">
        <f>IF(AJ118&gt;0.005,AJ118*Debts!D16/12,0)</f>
        <v/>
      </c>
      <c r="AL118" s="159" t="n">
        <v>0</v>
      </c>
      <c r="AM118" s="152">
        <f>MAX(0,AJ118+AK118-AL118)</f>
        <v/>
      </c>
      <c r="AN118" s="152">
        <f>AQ117</f>
        <v/>
      </c>
      <c r="AO118" s="159">
        <f>IF(AN118&gt;0.005,AN118*Debts!D17/12,0)</f>
        <v/>
      </c>
      <c r="AP118" s="159" t="n">
        <v>0</v>
      </c>
      <c r="AQ118" s="152">
        <f>MAX(0,AN118+AO118-AP118)</f>
        <v/>
      </c>
      <c r="AR118" s="152">
        <f>AU117</f>
        <v/>
      </c>
      <c r="AS118" s="159">
        <f>IF(AR118&gt;0.005,AR118*Debts!D18/12,0)</f>
        <v/>
      </c>
      <c r="AT118" s="159" t="n">
        <v>0</v>
      </c>
      <c r="AU118" s="152">
        <f>MAX(0,AR118+AS118-AT118)</f>
        <v/>
      </c>
      <c r="AV118" s="152">
        <f>AY117</f>
        <v/>
      </c>
      <c r="AW118" s="159">
        <f>IF(AV118&gt;0.005,AV118*Debts!D19/12,0)</f>
        <v/>
      </c>
      <c r="AX118" s="159" t="n">
        <v>0</v>
      </c>
      <c r="AY118" s="152">
        <f>MAX(0,AV118+AW118-AX118)</f>
        <v/>
      </c>
      <c r="AZ118" s="152">
        <f>BC117</f>
        <v/>
      </c>
      <c r="BA118" s="159">
        <f>IF(AZ118&gt;0.005,AZ118*Debts!D20/12,0)</f>
        <v/>
      </c>
      <c r="BB118" s="159" t="n">
        <v>0</v>
      </c>
      <c r="BC118" s="152">
        <f>MAX(0,AZ118+BA118-BB118)</f>
        <v/>
      </c>
      <c r="BD118" s="152">
        <f>BG117</f>
        <v/>
      </c>
      <c r="BE118" s="159">
        <f>IF(BD118&gt;0.005,BD118*Debts!D21/12,0)</f>
        <v/>
      </c>
      <c r="BF118" s="159" t="n">
        <v>0</v>
      </c>
      <c r="BG118" s="152">
        <f>MAX(0,BD118+BE118-BF118)</f>
        <v/>
      </c>
      <c r="BH118" s="152">
        <f>BK117</f>
        <v/>
      </c>
      <c r="BI118" s="159">
        <f>IF(BH118&gt;0.005,BH118*Debts!D22/12,0)</f>
        <v/>
      </c>
      <c r="BJ118" s="159" t="n">
        <v>0</v>
      </c>
      <c r="BK118" s="152">
        <f>MAX(0,BH118+BI118-BJ118)</f>
        <v/>
      </c>
      <c r="BL118" s="152">
        <f>BO117</f>
        <v/>
      </c>
      <c r="BM118" s="159">
        <f>IF(BL118&gt;0.005,BL118*Debts!D23/12,0)</f>
        <v/>
      </c>
      <c r="BN118" s="159" t="n">
        <v>0</v>
      </c>
      <c r="BO118" s="152">
        <f>MAX(0,BL118+BM118-BN118)</f>
        <v/>
      </c>
      <c r="BP118" s="152">
        <f>BS117</f>
        <v/>
      </c>
      <c r="BQ118" s="159">
        <f>IF(BP118&gt;0.005,BP118*Debts!D24/12,0)</f>
        <v/>
      </c>
      <c r="BR118" s="159" t="n">
        <v>0</v>
      </c>
      <c r="BS118" s="152">
        <f>MAX(0,BP118+BQ118-BR118)</f>
        <v/>
      </c>
      <c r="BT118" s="152">
        <f>BW117</f>
        <v/>
      </c>
      <c r="BU118" s="159">
        <f>IF(BT118&gt;0.005,BT118*Debts!D25/12,0)</f>
        <v/>
      </c>
      <c r="BV118" s="159" t="n">
        <v>0</v>
      </c>
      <c r="BW118" s="152">
        <f>MAX(0,BT118+BU118-BV118)</f>
        <v/>
      </c>
      <c r="BX118" s="152">
        <f>CA117</f>
        <v/>
      </c>
      <c r="BY118" s="159">
        <f>IF(BX118&gt;0.005,BX118*Debts!D26/12,0)</f>
        <v/>
      </c>
      <c r="BZ118" s="159" t="n">
        <v>0</v>
      </c>
      <c r="CA118" s="152">
        <f>MAX(0,BX118+BY118-BZ118)</f>
        <v/>
      </c>
      <c r="CB118" s="152">
        <f>CE117</f>
        <v/>
      </c>
      <c r="CC118" s="159">
        <f>IF(CB118&gt;0.005,CB118*Debts!D27/12,0)</f>
        <v/>
      </c>
      <c r="CD118" s="159" t="n">
        <v>0</v>
      </c>
      <c r="CE118" s="152">
        <f>MAX(0,CB118+CC118-CD118)</f>
        <v/>
      </c>
      <c r="CF118" s="152">
        <f>G118+K118+O118+S118+W118+AA118+AE118+AI118+AM118+AQ118+AU118+AY118+BC118+BG118+BK118+BO118+BS118+BW118+CA118+CE118</f>
        <v/>
      </c>
      <c r="CG118" s="159">
        <f>E118+I118+M118+Q118+U118+Y118+AC118+AG118+AK118+AO118+AS118+AW118+BA118+BE118+BI118+BM118+BQ118+BU118+BY118+CC118</f>
        <v/>
      </c>
      <c r="CH118" s="152">
        <f>CH117+CG118</f>
        <v/>
      </c>
      <c r="CI118" s="148" t="n"/>
      <c r="CJ118" s="148" t="n"/>
    </row>
    <row r="119" ht="15" customHeight="1" s="83">
      <c r="A119" s="148" t="n"/>
      <c r="B119" s="158" t="n">
        <v>115</v>
      </c>
      <c r="C119" s="152">
        <f>F119+J119+N119+R119+V119+Z119+AD119+AH119+AL119+AP119+AT119+AX119+BB119+BF119+BJ119+BN119+BR119+BV119+BZ119+CD119</f>
        <v/>
      </c>
      <c r="D119" s="152">
        <f>G118</f>
        <v/>
      </c>
      <c r="E119" s="159">
        <f>IF(D119&gt;0.005,D119*Debts!D8/12,0)</f>
        <v/>
      </c>
      <c r="F119" s="159" t="n">
        <v>0</v>
      </c>
      <c r="G119" s="152">
        <f>MAX(0,D119+E119-F119)</f>
        <v/>
      </c>
      <c r="H119" s="152">
        <f>K118</f>
        <v/>
      </c>
      <c r="I119" s="159">
        <f>IF(H119&gt;0.005,H119*Debts!D9/12,0)</f>
        <v/>
      </c>
      <c r="J119" s="159" t="n">
        <v>0</v>
      </c>
      <c r="K119" s="152">
        <f>MAX(0,H119+I119-J119)</f>
        <v/>
      </c>
      <c r="L119" s="152">
        <f>O118</f>
        <v/>
      </c>
      <c r="M119" s="159">
        <f>IF(L119&gt;0.005,L119*Debts!D10/12,0)</f>
        <v/>
      </c>
      <c r="N119" s="159" t="n">
        <v>0</v>
      </c>
      <c r="O119" s="152">
        <f>MAX(0,L119+M119-N119)</f>
        <v/>
      </c>
      <c r="P119" s="152">
        <f>S118</f>
        <v/>
      </c>
      <c r="Q119" s="159">
        <f>IF(P119&gt;0.005,P119*Debts!D11/12,0)</f>
        <v/>
      </c>
      <c r="R119" s="159" t="n">
        <v>0</v>
      </c>
      <c r="S119" s="152">
        <f>MAX(0,P119+Q119-R119)</f>
        <v/>
      </c>
      <c r="T119" s="152">
        <f>W118</f>
        <v/>
      </c>
      <c r="U119" s="159">
        <f>IF(T119&gt;0.005,T119*Debts!D12/12,0)</f>
        <v/>
      </c>
      <c r="V119" s="159" t="n">
        <v>0</v>
      </c>
      <c r="W119" s="152">
        <f>MAX(0,T119+U119-V119)</f>
        <v/>
      </c>
      <c r="X119" s="152">
        <f>AA118</f>
        <v/>
      </c>
      <c r="Y119" s="159">
        <f>IF(X119&gt;0.005,X119*Debts!D13/12,0)</f>
        <v/>
      </c>
      <c r="Z119" s="159" t="n">
        <v>0</v>
      </c>
      <c r="AA119" s="152">
        <f>MAX(0,X119+Y119-Z119)</f>
        <v/>
      </c>
      <c r="AB119" s="152">
        <f>AE118</f>
        <v/>
      </c>
      <c r="AC119" s="159">
        <f>IF(AB119&gt;0.005,AB119*Debts!D14/12,0)</f>
        <v/>
      </c>
      <c r="AD119" s="159" t="n">
        <v>0</v>
      </c>
      <c r="AE119" s="152">
        <f>MAX(0,AB119+AC119-AD119)</f>
        <v/>
      </c>
      <c r="AF119" s="152">
        <f>AI118</f>
        <v/>
      </c>
      <c r="AG119" s="159">
        <f>IF(AF119&gt;0.005,AF119*Debts!D15/12,0)</f>
        <v/>
      </c>
      <c r="AH119" s="159" t="n">
        <v>0</v>
      </c>
      <c r="AI119" s="152">
        <f>MAX(0,AF119+AG119-AH119)</f>
        <v/>
      </c>
      <c r="AJ119" s="152">
        <f>AM118</f>
        <v/>
      </c>
      <c r="AK119" s="159">
        <f>IF(AJ119&gt;0.005,AJ119*Debts!D16/12,0)</f>
        <v/>
      </c>
      <c r="AL119" s="159" t="n">
        <v>0</v>
      </c>
      <c r="AM119" s="152">
        <f>MAX(0,AJ119+AK119-AL119)</f>
        <v/>
      </c>
      <c r="AN119" s="152">
        <f>AQ118</f>
        <v/>
      </c>
      <c r="AO119" s="159">
        <f>IF(AN119&gt;0.005,AN119*Debts!D17/12,0)</f>
        <v/>
      </c>
      <c r="AP119" s="159" t="n">
        <v>0</v>
      </c>
      <c r="AQ119" s="152">
        <f>MAX(0,AN119+AO119-AP119)</f>
        <v/>
      </c>
      <c r="AR119" s="152">
        <f>AU118</f>
        <v/>
      </c>
      <c r="AS119" s="159">
        <f>IF(AR119&gt;0.005,AR119*Debts!D18/12,0)</f>
        <v/>
      </c>
      <c r="AT119" s="159" t="n">
        <v>0</v>
      </c>
      <c r="AU119" s="152">
        <f>MAX(0,AR119+AS119-AT119)</f>
        <v/>
      </c>
      <c r="AV119" s="152">
        <f>AY118</f>
        <v/>
      </c>
      <c r="AW119" s="159">
        <f>IF(AV119&gt;0.005,AV119*Debts!D19/12,0)</f>
        <v/>
      </c>
      <c r="AX119" s="159" t="n">
        <v>0</v>
      </c>
      <c r="AY119" s="152">
        <f>MAX(0,AV119+AW119-AX119)</f>
        <v/>
      </c>
      <c r="AZ119" s="152">
        <f>BC118</f>
        <v/>
      </c>
      <c r="BA119" s="159">
        <f>IF(AZ119&gt;0.005,AZ119*Debts!D20/12,0)</f>
        <v/>
      </c>
      <c r="BB119" s="159" t="n">
        <v>0</v>
      </c>
      <c r="BC119" s="152">
        <f>MAX(0,AZ119+BA119-BB119)</f>
        <v/>
      </c>
      <c r="BD119" s="152">
        <f>BG118</f>
        <v/>
      </c>
      <c r="BE119" s="159">
        <f>IF(BD119&gt;0.005,BD119*Debts!D21/12,0)</f>
        <v/>
      </c>
      <c r="BF119" s="159" t="n">
        <v>0</v>
      </c>
      <c r="BG119" s="152">
        <f>MAX(0,BD119+BE119-BF119)</f>
        <v/>
      </c>
      <c r="BH119" s="152">
        <f>BK118</f>
        <v/>
      </c>
      <c r="BI119" s="159">
        <f>IF(BH119&gt;0.005,BH119*Debts!D22/12,0)</f>
        <v/>
      </c>
      <c r="BJ119" s="159" t="n">
        <v>0</v>
      </c>
      <c r="BK119" s="152">
        <f>MAX(0,BH119+BI119-BJ119)</f>
        <v/>
      </c>
      <c r="BL119" s="152">
        <f>BO118</f>
        <v/>
      </c>
      <c r="BM119" s="159">
        <f>IF(BL119&gt;0.005,BL119*Debts!D23/12,0)</f>
        <v/>
      </c>
      <c r="BN119" s="159" t="n">
        <v>0</v>
      </c>
      <c r="BO119" s="152">
        <f>MAX(0,BL119+BM119-BN119)</f>
        <v/>
      </c>
      <c r="BP119" s="152">
        <f>BS118</f>
        <v/>
      </c>
      <c r="BQ119" s="159">
        <f>IF(BP119&gt;0.005,BP119*Debts!D24/12,0)</f>
        <v/>
      </c>
      <c r="BR119" s="159" t="n">
        <v>0</v>
      </c>
      <c r="BS119" s="152">
        <f>MAX(0,BP119+BQ119-BR119)</f>
        <v/>
      </c>
      <c r="BT119" s="152">
        <f>BW118</f>
        <v/>
      </c>
      <c r="BU119" s="159">
        <f>IF(BT119&gt;0.005,BT119*Debts!D25/12,0)</f>
        <v/>
      </c>
      <c r="BV119" s="159" t="n">
        <v>0</v>
      </c>
      <c r="BW119" s="152">
        <f>MAX(0,BT119+BU119-BV119)</f>
        <v/>
      </c>
      <c r="BX119" s="152">
        <f>CA118</f>
        <v/>
      </c>
      <c r="BY119" s="159">
        <f>IF(BX119&gt;0.005,BX119*Debts!D26/12,0)</f>
        <v/>
      </c>
      <c r="BZ119" s="159" t="n">
        <v>0</v>
      </c>
      <c r="CA119" s="152">
        <f>MAX(0,BX119+BY119-BZ119)</f>
        <v/>
      </c>
      <c r="CB119" s="152">
        <f>CE118</f>
        <v/>
      </c>
      <c r="CC119" s="159">
        <f>IF(CB119&gt;0.005,CB119*Debts!D27/12,0)</f>
        <v/>
      </c>
      <c r="CD119" s="159" t="n">
        <v>0</v>
      </c>
      <c r="CE119" s="152">
        <f>MAX(0,CB119+CC119-CD119)</f>
        <v/>
      </c>
      <c r="CF119" s="152">
        <f>G119+K119+O119+S119+W119+AA119+AE119+AI119+AM119+AQ119+AU119+AY119+BC119+BG119+BK119+BO119+BS119+BW119+CA119+CE119</f>
        <v/>
      </c>
      <c r="CG119" s="159">
        <f>E119+I119+M119+Q119+U119+Y119+AC119+AG119+AK119+AO119+AS119+AW119+BA119+BE119+BI119+BM119+BQ119+BU119+BY119+CC119</f>
        <v/>
      </c>
      <c r="CH119" s="152">
        <f>CH118+CG119</f>
        <v/>
      </c>
      <c r="CI119" s="148" t="n"/>
      <c r="CJ119" s="148" t="n"/>
    </row>
    <row r="120" ht="15" customHeight="1" s="83">
      <c r="A120" s="148" t="n"/>
      <c r="B120" s="158" t="n">
        <v>116</v>
      </c>
      <c r="C120" s="152">
        <f>F120+J120+N120+R120+V120+Z120+AD120+AH120+AL120+AP120+AT120+AX120+BB120+BF120+BJ120+BN120+BR120+BV120+BZ120+CD120</f>
        <v/>
      </c>
      <c r="D120" s="152">
        <f>G119</f>
        <v/>
      </c>
      <c r="E120" s="159">
        <f>IF(D120&gt;0.005,D120*Debts!D8/12,0)</f>
        <v/>
      </c>
      <c r="F120" s="159" t="n">
        <v>0</v>
      </c>
      <c r="G120" s="152">
        <f>MAX(0,D120+E120-F120)</f>
        <v/>
      </c>
      <c r="H120" s="152">
        <f>K119</f>
        <v/>
      </c>
      <c r="I120" s="159">
        <f>IF(H120&gt;0.005,H120*Debts!D9/12,0)</f>
        <v/>
      </c>
      <c r="J120" s="159" t="n">
        <v>0</v>
      </c>
      <c r="K120" s="152">
        <f>MAX(0,H120+I120-J120)</f>
        <v/>
      </c>
      <c r="L120" s="152">
        <f>O119</f>
        <v/>
      </c>
      <c r="M120" s="159">
        <f>IF(L120&gt;0.005,L120*Debts!D10/12,0)</f>
        <v/>
      </c>
      <c r="N120" s="159" t="n">
        <v>0</v>
      </c>
      <c r="O120" s="152">
        <f>MAX(0,L120+M120-N120)</f>
        <v/>
      </c>
      <c r="P120" s="152">
        <f>S119</f>
        <v/>
      </c>
      <c r="Q120" s="159">
        <f>IF(P120&gt;0.005,P120*Debts!D11/12,0)</f>
        <v/>
      </c>
      <c r="R120" s="159" t="n">
        <v>0</v>
      </c>
      <c r="S120" s="152">
        <f>MAX(0,P120+Q120-R120)</f>
        <v/>
      </c>
      <c r="T120" s="152">
        <f>W119</f>
        <v/>
      </c>
      <c r="U120" s="159">
        <f>IF(T120&gt;0.005,T120*Debts!D12/12,0)</f>
        <v/>
      </c>
      <c r="V120" s="159" t="n">
        <v>0</v>
      </c>
      <c r="W120" s="152">
        <f>MAX(0,T120+U120-V120)</f>
        <v/>
      </c>
      <c r="X120" s="152">
        <f>AA119</f>
        <v/>
      </c>
      <c r="Y120" s="159">
        <f>IF(X120&gt;0.005,X120*Debts!D13/12,0)</f>
        <v/>
      </c>
      <c r="Z120" s="159" t="n">
        <v>0</v>
      </c>
      <c r="AA120" s="152">
        <f>MAX(0,X120+Y120-Z120)</f>
        <v/>
      </c>
      <c r="AB120" s="152">
        <f>AE119</f>
        <v/>
      </c>
      <c r="AC120" s="159">
        <f>IF(AB120&gt;0.005,AB120*Debts!D14/12,0)</f>
        <v/>
      </c>
      <c r="AD120" s="159" t="n">
        <v>0</v>
      </c>
      <c r="AE120" s="152">
        <f>MAX(0,AB120+AC120-AD120)</f>
        <v/>
      </c>
      <c r="AF120" s="152">
        <f>AI119</f>
        <v/>
      </c>
      <c r="AG120" s="159">
        <f>IF(AF120&gt;0.005,AF120*Debts!D15/12,0)</f>
        <v/>
      </c>
      <c r="AH120" s="159" t="n">
        <v>0</v>
      </c>
      <c r="AI120" s="152">
        <f>MAX(0,AF120+AG120-AH120)</f>
        <v/>
      </c>
      <c r="AJ120" s="152">
        <f>AM119</f>
        <v/>
      </c>
      <c r="AK120" s="159">
        <f>IF(AJ120&gt;0.005,AJ120*Debts!D16/12,0)</f>
        <v/>
      </c>
      <c r="AL120" s="159" t="n">
        <v>0</v>
      </c>
      <c r="AM120" s="152">
        <f>MAX(0,AJ120+AK120-AL120)</f>
        <v/>
      </c>
      <c r="AN120" s="152">
        <f>AQ119</f>
        <v/>
      </c>
      <c r="AO120" s="159">
        <f>IF(AN120&gt;0.005,AN120*Debts!D17/12,0)</f>
        <v/>
      </c>
      <c r="AP120" s="159" t="n">
        <v>0</v>
      </c>
      <c r="AQ120" s="152">
        <f>MAX(0,AN120+AO120-AP120)</f>
        <v/>
      </c>
      <c r="AR120" s="152">
        <f>AU119</f>
        <v/>
      </c>
      <c r="AS120" s="159">
        <f>IF(AR120&gt;0.005,AR120*Debts!D18/12,0)</f>
        <v/>
      </c>
      <c r="AT120" s="159" t="n">
        <v>0</v>
      </c>
      <c r="AU120" s="152">
        <f>MAX(0,AR120+AS120-AT120)</f>
        <v/>
      </c>
      <c r="AV120" s="152">
        <f>AY119</f>
        <v/>
      </c>
      <c r="AW120" s="159">
        <f>IF(AV120&gt;0.005,AV120*Debts!D19/12,0)</f>
        <v/>
      </c>
      <c r="AX120" s="159" t="n">
        <v>0</v>
      </c>
      <c r="AY120" s="152">
        <f>MAX(0,AV120+AW120-AX120)</f>
        <v/>
      </c>
      <c r="AZ120" s="152">
        <f>BC119</f>
        <v/>
      </c>
      <c r="BA120" s="159">
        <f>IF(AZ120&gt;0.005,AZ120*Debts!D20/12,0)</f>
        <v/>
      </c>
      <c r="BB120" s="159" t="n">
        <v>0</v>
      </c>
      <c r="BC120" s="152">
        <f>MAX(0,AZ120+BA120-BB120)</f>
        <v/>
      </c>
      <c r="BD120" s="152">
        <f>BG119</f>
        <v/>
      </c>
      <c r="BE120" s="159">
        <f>IF(BD120&gt;0.005,BD120*Debts!D21/12,0)</f>
        <v/>
      </c>
      <c r="BF120" s="159" t="n">
        <v>0</v>
      </c>
      <c r="BG120" s="152">
        <f>MAX(0,BD120+BE120-BF120)</f>
        <v/>
      </c>
      <c r="BH120" s="152">
        <f>BK119</f>
        <v/>
      </c>
      <c r="BI120" s="159">
        <f>IF(BH120&gt;0.005,BH120*Debts!D22/12,0)</f>
        <v/>
      </c>
      <c r="BJ120" s="159" t="n">
        <v>0</v>
      </c>
      <c r="BK120" s="152">
        <f>MAX(0,BH120+BI120-BJ120)</f>
        <v/>
      </c>
      <c r="BL120" s="152">
        <f>BO119</f>
        <v/>
      </c>
      <c r="BM120" s="159">
        <f>IF(BL120&gt;0.005,BL120*Debts!D23/12,0)</f>
        <v/>
      </c>
      <c r="BN120" s="159" t="n">
        <v>0</v>
      </c>
      <c r="BO120" s="152">
        <f>MAX(0,BL120+BM120-BN120)</f>
        <v/>
      </c>
      <c r="BP120" s="152">
        <f>BS119</f>
        <v/>
      </c>
      <c r="BQ120" s="159">
        <f>IF(BP120&gt;0.005,BP120*Debts!D24/12,0)</f>
        <v/>
      </c>
      <c r="BR120" s="159" t="n">
        <v>0</v>
      </c>
      <c r="BS120" s="152">
        <f>MAX(0,BP120+BQ120-BR120)</f>
        <v/>
      </c>
      <c r="BT120" s="152">
        <f>BW119</f>
        <v/>
      </c>
      <c r="BU120" s="159">
        <f>IF(BT120&gt;0.005,BT120*Debts!D25/12,0)</f>
        <v/>
      </c>
      <c r="BV120" s="159" t="n">
        <v>0</v>
      </c>
      <c r="BW120" s="152">
        <f>MAX(0,BT120+BU120-BV120)</f>
        <v/>
      </c>
      <c r="BX120" s="152">
        <f>CA119</f>
        <v/>
      </c>
      <c r="BY120" s="159">
        <f>IF(BX120&gt;0.005,BX120*Debts!D26/12,0)</f>
        <v/>
      </c>
      <c r="BZ120" s="159" t="n">
        <v>0</v>
      </c>
      <c r="CA120" s="152">
        <f>MAX(0,BX120+BY120-BZ120)</f>
        <v/>
      </c>
      <c r="CB120" s="152">
        <f>CE119</f>
        <v/>
      </c>
      <c r="CC120" s="159">
        <f>IF(CB120&gt;0.005,CB120*Debts!D27/12,0)</f>
        <v/>
      </c>
      <c r="CD120" s="159" t="n">
        <v>0</v>
      </c>
      <c r="CE120" s="152">
        <f>MAX(0,CB120+CC120-CD120)</f>
        <v/>
      </c>
      <c r="CF120" s="152">
        <f>G120+K120+O120+S120+W120+AA120+AE120+AI120+AM120+AQ120+AU120+AY120+BC120+BG120+BK120+BO120+BS120+BW120+CA120+CE120</f>
        <v/>
      </c>
      <c r="CG120" s="159">
        <f>E120+I120+M120+Q120+U120+Y120+AC120+AG120+AK120+AO120+AS120+AW120+BA120+BE120+BI120+BM120+BQ120+BU120+BY120+CC120</f>
        <v/>
      </c>
      <c r="CH120" s="152">
        <f>CH119+CG120</f>
        <v/>
      </c>
      <c r="CI120" s="148" t="n"/>
      <c r="CJ120" s="148" t="n"/>
    </row>
    <row r="121" ht="15" customHeight="1" s="83">
      <c r="A121" s="148" t="n"/>
      <c r="B121" s="158" t="n">
        <v>117</v>
      </c>
      <c r="C121" s="152">
        <f>F121+J121+N121+R121+V121+Z121+AD121+AH121+AL121+AP121+AT121+AX121+BB121+BF121+BJ121+BN121+BR121+BV121+BZ121+CD121</f>
        <v/>
      </c>
      <c r="D121" s="152">
        <f>G120</f>
        <v/>
      </c>
      <c r="E121" s="159">
        <f>IF(D121&gt;0.005,D121*Debts!D8/12,0)</f>
        <v/>
      </c>
      <c r="F121" s="159" t="n">
        <v>0</v>
      </c>
      <c r="G121" s="152">
        <f>MAX(0,D121+E121-F121)</f>
        <v/>
      </c>
      <c r="H121" s="152">
        <f>K120</f>
        <v/>
      </c>
      <c r="I121" s="159">
        <f>IF(H121&gt;0.005,H121*Debts!D9/12,0)</f>
        <v/>
      </c>
      <c r="J121" s="159" t="n">
        <v>0</v>
      </c>
      <c r="K121" s="152">
        <f>MAX(0,H121+I121-J121)</f>
        <v/>
      </c>
      <c r="L121" s="152">
        <f>O120</f>
        <v/>
      </c>
      <c r="M121" s="159">
        <f>IF(L121&gt;0.005,L121*Debts!D10/12,0)</f>
        <v/>
      </c>
      <c r="N121" s="159" t="n">
        <v>0</v>
      </c>
      <c r="O121" s="152">
        <f>MAX(0,L121+M121-N121)</f>
        <v/>
      </c>
      <c r="P121" s="152">
        <f>S120</f>
        <v/>
      </c>
      <c r="Q121" s="159">
        <f>IF(P121&gt;0.005,P121*Debts!D11/12,0)</f>
        <v/>
      </c>
      <c r="R121" s="159" t="n">
        <v>0</v>
      </c>
      <c r="S121" s="152">
        <f>MAX(0,P121+Q121-R121)</f>
        <v/>
      </c>
      <c r="T121" s="152">
        <f>W120</f>
        <v/>
      </c>
      <c r="U121" s="159">
        <f>IF(T121&gt;0.005,T121*Debts!D12/12,0)</f>
        <v/>
      </c>
      <c r="V121" s="159" t="n">
        <v>0</v>
      </c>
      <c r="W121" s="152">
        <f>MAX(0,T121+U121-V121)</f>
        <v/>
      </c>
      <c r="X121" s="152">
        <f>AA120</f>
        <v/>
      </c>
      <c r="Y121" s="159">
        <f>IF(X121&gt;0.005,X121*Debts!D13/12,0)</f>
        <v/>
      </c>
      <c r="Z121" s="159" t="n">
        <v>0</v>
      </c>
      <c r="AA121" s="152">
        <f>MAX(0,X121+Y121-Z121)</f>
        <v/>
      </c>
      <c r="AB121" s="152">
        <f>AE120</f>
        <v/>
      </c>
      <c r="AC121" s="159">
        <f>IF(AB121&gt;0.005,AB121*Debts!D14/12,0)</f>
        <v/>
      </c>
      <c r="AD121" s="159" t="n">
        <v>0</v>
      </c>
      <c r="AE121" s="152">
        <f>MAX(0,AB121+AC121-AD121)</f>
        <v/>
      </c>
      <c r="AF121" s="152">
        <f>AI120</f>
        <v/>
      </c>
      <c r="AG121" s="159">
        <f>IF(AF121&gt;0.005,AF121*Debts!D15/12,0)</f>
        <v/>
      </c>
      <c r="AH121" s="159" t="n">
        <v>0</v>
      </c>
      <c r="AI121" s="152">
        <f>MAX(0,AF121+AG121-AH121)</f>
        <v/>
      </c>
      <c r="AJ121" s="152">
        <f>AM120</f>
        <v/>
      </c>
      <c r="AK121" s="159">
        <f>IF(AJ121&gt;0.005,AJ121*Debts!D16/12,0)</f>
        <v/>
      </c>
      <c r="AL121" s="159" t="n">
        <v>0</v>
      </c>
      <c r="AM121" s="152">
        <f>MAX(0,AJ121+AK121-AL121)</f>
        <v/>
      </c>
      <c r="AN121" s="152">
        <f>AQ120</f>
        <v/>
      </c>
      <c r="AO121" s="159">
        <f>IF(AN121&gt;0.005,AN121*Debts!D17/12,0)</f>
        <v/>
      </c>
      <c r="AP121" s="159" t="n">
        <v>0</v>
      </c>
      <c r="AQ121" s="152">
        <f>MAX(0,AN121+AO121-AP121)</f>
        <v/>
      </c>
      <c r="AR121" s="152">
        <f>AU120</f>
        <v/>
      </c>
      <c r="AS121" s="159">
        <f>IF(AR121&gt;0.005,AR121*Debts!D18/12,0)</f>
        <v/>
      </c>
      <c r="AT121" s="159" t="n">
        <v>0</v>
      </c>
      <c r="AU121" s="152">
        <f>MAX(0,AR121+AS121-AT121)</f>
        <v/>
      </c>
      <c r="AV121" s="152">
        <f>AY120</f>
        <v/>
      </c>
      <c r="AW121" s="159">
        <f>IF(AV121&gt;0.005,AV121*Debts!D19/12,0)</f>
        <v/>
      </c>
      <c r="AX121" s="159" t="n">
        <v>0</v>
      </c>
      <c r="AY121" s="152">
        <f>MAX(0,AV121+AW121-AX121)</f>
        <v/>
      </c>
      <c r="AZ121" s="152">
        <f>BC120</f>
        <v/>
      </c>
      <c r="BA121" s="159">
        <f>IF(AZ121&gt;0.005,AZ121*Debts!D20/12,0)</f>
        <v/>
      </c>
      <c r="BB121" s="159" t="n">
        <v>0</v>
      </c>
      <c r="BC121" s="152">
        <f>MAX(0,AZ121+BA121-BB121)</f>
        <v/>
      </c>
      <c r="BD121" s="152">
        <f>BG120</f>
        <v/>
      </c>
      <c r="BE121" s="159">
        <f>IF(BD121&gt;0.005,BD121*Debts!D21/12,0)</f>
        <v/>
      </c>
      <c r="BF121" s="159" t="n">
        <v>0</v>
      </c>
      <c r="BG121" s="152">
        <f>MAX(0,BD121+BE121-BF121)</f>
        <v/>
      </c>
      <c r="BH121" s="152">
        <f>BK120</f>
        <v/>
      </c>
      <c r="BI121" s="159">
        <f>IF(BH121&gt;0.005,BH121*Debts!D22/12,0)</f>
        <v/>
      </c>
      <c r="BJ121" s="159" t="n">
        <v>0</v>
      </c>
      <c r="BK121" s="152">
        <f>MAX(0,BH121+BI121-BJ121)</f>
        <v/>
      </c>
      <c r="BL121" s="152">
        <f>BO120</f>
        <v/>
      </c>
      <c r="BM121" s="159">
        <f>IF(BL121&gt;0.005,BL121*Debts!D23/12,0)</f>
        <v/>
      </c>
      <c r="BN121" s="159" t="n">
        <v>0</v>
      </c>
      <c r="BO121" s="152">
        <f>MAX(0,BL121+BM121-BN121)</f>
        <v/>
      </c>
      <c r="BP121" s="152">
        <f>BS120</f>
        <v/>
      </c>
      <c r="BQ121" s="159">
        <f>IF(BP121&gt;0.005,BP121*Debts!D24/12,0)</f>
        <v/>
      </c>
      <c r="BR121" s="159" t="n">
        <v>0</v>
      </c>
      <c r="BS121" s="152">
        <f>MAX(0,BP121+BQ121-BR121)</f>
        <v/>
      </c>
      <c r="BT121" s="152">
        <f>BW120</f>
        <v/>
      </c>
      <c r="BU121" s="159">
        <f>IF(BT121&gt;0.005,BT121*Debts!D25/12,0)</f>
        <v/>
      </c>
      <c r="BV121" s="159" t="n">
        <v>0</v>
      </c>
      <c r="BW121" s="152">
        <f>MAX(0,BT121+BU121-BV121)</f>
        <v/>
      </c>
      <c r="BX121" s="152">
        <f>CA120</f>
        <v/>
      </c>
      <c r="BY121" s="159">
        <f>IF(BX121&gt;0.005,BX121*Debts!D26/12,0)</f>
        <v/>
      </c>
      <c r="BZ121" s="159" t="n">
        <v>0</v>
      </c>
      <c r="CA121" s="152">
        <f>MAX(0,BX121+BY121-BZ121)</f>
        <v/>
      </c>
      <c r="CB121" s="152">
        <f>CE120</f>
        <v/>
      </c>
      <c r="CC121" s="159">
        <f>IF(CB121&gt;0.005,CB121*Debts!D27/12,0)</f>
        <v/>
      </c>
      <c r="CD121" s="159" t="n">
        <v>0</v>
      </c>
      <c r="CE121" s="152">
        <f>MAX(0,CB121+CC121-CD121)</f>
        <v/>
      </c>
      <c r="CF121" s="152">
        <f>G121+K121+O121+S121+W121+AA121+AE121+AI121+AM121+AQ121+AU121+AY121+BC121+BG121+BK121+BO121+BS121+BW121+CA121+CE121</f>
        <v/>
      </c>
      <c r="CG121" s="159">
        <f>E121+I121+M121+Q121+U121+Y121+AC121+AG121+AK121+AO121+AS121+AW121+BA121+BE121+BI121+BM121+BQ121+BU121+BY121+CC121</f>
        <v/>
      </c>
      <c r="CH121" s="152">
        <f>CH120+CG121</f>
        <v/>
      </c>
      <c r="CI121" s="148" t="n"/>
      <c r="CJ121" s="148" t="n"/>
    </row>
    <row r="122" ht="15" customHeight="1" s="83">
      <c r="A122" s="148" t="n"/>
      <c r="B122" s="158" t="n">
        <v>118</v>
      </c>
      <c r="C122" s="152">
        <f>F122+J122+N122+R122+V122+Z122+AD122+AH122+AL122+AP122+AT122+AX122+BB122+BF122+BJ122+BN122+BR122+BV122+BZ122+CD122</f>
        <v/>
      </c>
      <c r="D122" s="152">
        <f>G121</f>
        <v/>
      </c>
      <c r="E122" s="159">
        <f>IF(D122&gt;0.005,D122*Debts!D8/12,0)</f>
        <v/>
      </c>
      <c r="F122" s="159" t="n">
        <v>0</v>
      </c>
      <c r="G122" s="152">
        <f>MAX(0,D122+E122-F122)</f>
        <v/>
      </c>
      <c r="H122" s="152">
        <f>K121</f>
        <v/>
      </c>
      <c r="I122" s="159">
        <f>IF(H122&gt;0.005,H122*Debts!D9/12,0)</f>
        <v/>
      </c>
      <c r="J122" s="159" t="n">
        <v>0</v>
      </c>
      <c r="K122" s="152">
        <f>MAX(0,H122+I122-J122)</f>
        <v/>
      </c>
      <c r="L122" s="152">
        <f>O121</f>
        <v/>
      </c>
      <c r="M122" s="159">
        <f>IF(L122&gt;0.005,L122*Debts!D10/12,0)</f>
        <v/>
      </c>
      <c r="N122" s="159" t="n">
        <v>0</v>
      </c>
      <c r="O122" s="152">
        <f>MAX(0,L122+M122-N122)</f>
        <v/>
      </c>
      <c r="P122" s="152">
        <f>S121</f>
        <v/>
      </c>
      <c r="Q122" s="159">
        <f>IF(P122&gt;0.005,P122*Debts!D11/12,0)</f>
        <v/>
      </c>
      <c r="R122" s="159" t="n">
        <v>0</v>
      </c>
      <c r="S122" s="152">
        <f>MAX(0,P122+Q122-R122)</f>
        <v/>
      </c>
      <c r="T122" s="152">
        <f>W121</f>
        <v/>
      </c>
      <c r="U122" s="159">
        <f>IF(T122&gt;0.005,T122*Debts!D12/12,0)</f>
        <v/>
      </c>
      <c r="V122" s="159" t="n">
        <v>0</v>
      </c>
      <c r="W122" s="152">
        <f>MAX(0,T122+U122-V122)</f>
        <v/>
      </c>
      <c r="X122" s="152">
        <f>AA121</f>
        <v/>
      </c>
      <c r="Y122" s="159">
        <f>IF(X122&gt;0.005,X122*Debts!D13/12,0)</f>
        <v/>
      </c>
      <c r="Z122" s="159" t="n">
        <v>0</v>
      </c>
      <c r="AA122" s="152">
        <f>MAX(0,X122+Y122-Z122)</f>
        <v/>
      </c>
      <c r="AB122" s="152">
        <f>AE121</f>
        <v/>
      </c>
      <c r="AC122" s="159">
        <f>IF(AB122&gt;0.005,AB122*Debts!D14/12,0)</f>
        <v/>
      </c>
      <c r="AD122" s="159" t="n">
        <v>0</v>
      </c>
      <c r="AE122" s="152">
        <f>MAX(0,AB122+AC122-AD122)</f>
        <v/>
      </c>
      <c r="AF122" s="152">
        <f>AI121</f>
        <v/>
      </c>
      <c r="AG122" s="159">
        <f>IF(AF122&gt;0.005,AF122*Debts!D15/12,0)</f>
        <v/>
      </c>
      <c r="AH122" s="159" t="n">
        <v>0</v>
      </c>
      <c r="AI122" s="152">
        <f>MAX(0,AF122+AG122-AH122)</f>
        <v/>
      </c>
      <c r="AJ122" s="152">
        <f>AM121</f>
        <v/>
      </c>
      <c r="AK122" s="159">
        <f>IF(AJ122&gt;0.005,AJ122*Debts!D16/12,0)</f>
        <v/>
      </c>
      <c r="AL122" s="159" t="n">
        <v>0</v>
      </c>
      <c r="AM122" s="152">
        <f>MAX(0,AJ122+AK122-AL122)</f>
        <v/>
      </c>
      <c r="AN122" s="152">
        <f>AQ121</f>
        <v/>
      </c>
      <c r="AO122" s="159">
        <f>IF(AN122&gt;0.005,AN122*Debts!D17/12,0)</f>
        <v/>
      </c>
      <c r="AP122" s="159" t="n">
        <v>0</v>
      </c>
      <c r="AQ122" s="152">
        <f>MAX(0,AN122+AO122-AP122)</f>
        <v/>
      </c>
      <c r="AR122" s="152">
        <f>AU121</f>
        <v/>
      </c>
      <c r="AS122" s="159">
        <f>IF(AR122&gt;0.005,AR122*Debts!D18/12,0)</f>
        <v/>
      </c>
      <c r="AT122" s="159" t="n">
        <v>0</v>
      </c>
      <c r="AU122" s="152">
        <f>MAX(0,AR122+AS122-AT122)</f>
        <v/>
      </c>
      <c r="AV122" s="152">
        <f>AY121</f>
        <v/>
      </c>
      <c r="AW122" s="159">
        <f>IF(AV122&gt;0.005,AV122*Debts!D19/12,0)</f>
        <v/>
      </c>
      <c r="AX122" s="159" t="n">
        <v>0</v>
      </c>
      <c r="AY122" s="152">
        <f>MAX(0,AV122+AW122-AX122)</f>
        <v/>
      </c>
      <c r="AZ122" s="152">
        <f>BC121</f>
        <v/>
      </c>
      <c r="BA122" s="159">
        <f>IF(AZ122&gt;0.005,AZ122*Debts!D20/12,0)</f>
        <v/>
      </c>
      <c r="BB122" s="159" t="n">
        <v>0</v>
      </c>
      <c r="BC122" s="152">
        <f>MAX(0,AZ122+BA122-BB122)</f>
        <v/>
      </c>
      <c r="BD122" s="152">
        <f>BG121</f>
        <v/>
      </c>
      <c r="BE122" s="159">
        <f>IF(BD122&gt;0.005,BD122*Debts!D21/12,0)</f>
        <v/>
      </c>
      <c r="BF122" s="159" t="n">
        <v>0</v>
      </c>
      <c r="BG122" s="152">
        <f>MAX(0,BD122+BE122-BF122)</f>
        <v/>
      </c>
      <c r="BH122" s="152">
        <f>BK121</f>
        <v/>
      </c>
      <c r="BI122" s="159">
        <f>IF(BH122&gt;0.005,BH122*Debts!D22/12,0)</f>
        <v/>
      </c>
      <c r="BJ122" s="159" t="n">
        <v>0</v>
      </c>
      <c r="BK122" s="152">
        <f>MAX(0,BH122+BI122-BJ122)</f>
        <v/>
      </c>
      <c r="BL122" s="152">
        <f>BO121</f>
        <v/>
      </c>
      <c r="BM122" s="159">
        <f>IF(BL122&gt;0.005,BL122*Debts!D23/12,0)</f>
        <v/>
      </c>
      <c r="BN122" s="159" t="n">
        <v>0</v>
      </c>
      <c r="BO122" s="152">
        <f>MAX(0,BL122+BM122-BN122)</f>
        <v/>
      </c>
      <c r="BP122" s="152">
        <f>BS121</f>
        <v/>
      </c>
      <c r="BQ122" s="159">
        <f>IF(BP122&gt;0.005,BP122*Debts!D24/12,0)</f>
        <v/>
      </c>
      <c r="BR122" s="159" t="n">
        <v>0</v>
      </c>
      <c r="BS122" s="152">
        <f>MAX(0,BP122+BQ122-BR122)</f>
        <v/>
      </c>
      <c r="BT122" s="152">
        <f>BW121</f>
        <v/>
      </c>
      <c r="BU122" s="159">
        <f>IF(BT122&gt;0.005,BT122*Debts!D25/12,0)</f>
        <v/>
      </c>
      <c r="BV122" s="159" t="n">
        <v>0</v>
      </c>
      <c r="BW122" s="152">
        <f>MAX(0,BT122+BU122-BV122)</f>
        <v/>
      </c>
      <c r="BX122" s="152">
        <f>CA121</f>
        <v/>
      </c>
      <c r="BY122" s="159">
        <f>IF(BX122&gt;0.005,BX122*Debts!D26/12,0)</f>
        <v/>
      </c>
      <c r="BZ122" s="159" t="n">
        <v>0</v>
      </c>
      <c r="CA122" s="152">
        <f>MAX(0,BX122+BY122-BZ122)</f>
        <v/>
      </c>
      <c r="CB122" s="152">
        <f>CE121</f>
        <v/>
      </c>
      <c r="CC122" s="159">
        <f>IF(CB122&gt;0.005,CB122*Debts!D27/12,0)</f>
        <v/>
      </c>
      <c r="CD122" s="159" t="n">
        <v>0</v>
      </c>
      <c r="CE122" s="152">
        <f>MAX(0,CB122+CC122-CD122)</f>
        <v/>
      </c>
      <c r="CF122" s="152">
        <f>G122+K122+O122+S122+W122+AA122+AE122+AI122+AM122+AQ122+AU122+AY122+BC122+BG122+BK122+BO122+BS122+BW122+CA122+CE122</f>
        <v/>
      </c>
      <c r="CG122" s="159">
        <f>E122+I122+M122+Q122+U122+Y122+AC122+AG122+AK122+AO122+AS122+AW122+BA122+BE122+BI122+BM122+BQ122+BU122+BY122+CC122</f>
        <v/>
      </c>
      <c r="CH122" s="152">
        <f>CH121+CG122</f>
        <v/>
      </c>
      <c r="CI122" s="148" t="n"/>
      <c r="CJ122" s="148" t="n"/>
    </row>
    <row r="123" ht="15" customHeight="1" s="83">
      <c r="A123" s="148" t="n"/>
      <c r="B123" s="158" t="n">
        <v>119</v>
      </c>
      <c r="C123" s="152">
        <f>F123+J123+N123+R123+V123+Z123+AD123+AH123+AL123+AP123+AT123+AX123+BB123+BF123+BJ123+BN123+BR123+BV123+BZ123+CD123</f>
        <v/>
      </c>
      <c r="D123" s="152">
        <f>G122</f>
        <v/>
      </c>
      <c r="E123" s="159">
        <f>IF(D123&gt;0.005,D123*Debts!D8/12,0)</f>
        <v/>
      </c>
      <c r="F123" s="159" t="n">
        <v>0</v>
      </c>
      <c r="G123" s="152">
        <f>MAX(0,D123+E123-F123)</f>
        <v/>
      </c>
      <c r="H123" s="152">
        <f>K122</f>
        <v/>
      </c>
      <c r="I123" s="159">
        <f>IF(H123&gt;0.005,H123*Debts!D9/12,0)</f>
        <v/>
      </c>
      <c r="J123" s="159" t="n">
        <v>0</v>
      </c>
      <c r="K123" s="152">
        <f>MAX(0,H123+I123-J123)</f>
        <v/>
      </c>
      <c r="L123" s="152">
        <f>O122</f>
        <v/>
      </c>
      <c r="M123" s="159">
        <f>IF(L123&gt;0.005,L123*Debts!D10/12,0)</f>
        <v/>
      </c>
      <c r="N123" s="159" t="n">
        <v>0</v>
      </c>
      <c r="O123" s="152">
        <f>MAX(0,L123+M123-N123)</f>
        <v/>
      </c>
      <c r="P123" s="152">
        <f>S122</f>
        <v/>
      </c>
      <c r="Q123" s="159">
        <f>IF(P123&gt;0.005,P123*Debts!D11/12,0)</f>
        <v/>
      </c>
      <c r="R123" s="159" t="n">
        <v>0</v>
      </c>
      <c r="S123" s="152">
        <f>MAX(0,P123+Q123-R123)</f>
        <v/>
      </c>
      <c r="T123" s="152">
        <f>W122</f>
        <v/>
      </c>
      <c r="U123" s="159">
        <f>IF(T123&gt;0.005,T123*Debts!D12/12,0)</f>
        <v/>
      </c>
      <c r="V123" s="159" t="n">
        <v>0</v>
      </c>
      <c r="W123" s="152">
        <f>MAX(0,T123+U123-V123)</f>
        <v/>
      </c>
      <c r="X123" s="152">
        <f>AA122</f>
        <v/>
      </c>
      <c r="Y123" s="159">
        <f>IF(X123&gt;0.005,X123*Debts!D13/12,0)</f>
        <v/>
      </c>
      <c r="Z123" s="159" t="n">
        <v>0</v>
      </c>
      <c r="AA123" s="152">
        <f>MAX(0,X123+Y123-Z123)</f>
        <v/>
      </c>
      <c r="AB123" s="152">
        <f>AE122</f>
        <v/>
      </c>
      <c r="AC123" s="159">
        <f>IF(AB123&gt;0.005,AB123*Debts!D14/12,0)</f>
        <v/>
      </c>
      <c r="AD123" s="159" t="n">
        <v>0</v>
      </c>
      <c r="AE123" s="152">
        <f>MAX(0,AB123+AC123-AD123)</f>
        <v/>
      </c>
      <c r="AF123" s="152">
        <f>AI122</f>
        <v/>
      </c>
      <c r="AG123" s="159">
        <f>IF(AF123&gt;0.005,AF123*Debts!D15/12,0)</f>
        <v/>
      </c>
      <c r="AH123" s="159" t="n">
        <v>0</v>
      </c>
      <c r="AI123" s="152">
        <f>MAX(0,AF123+AG123-AH123)</f>
        <v/>
      </c>
      <c r="AJ123" s="152">
        <f>AM122</f>
        <v/>
      </c>
      <c r="AK123" s="159">
        <f>IF(AJ123&gt;0.005,AJ123*Debts!D16/12,0)</f>
        <v/>
      </c>
      <c r="AL123" s="159" t="n">
        <v>0</v>
      </c>
      <c r="AM123" s="152">
        <f>MAX(0,AJ123+AK123-AL123)</f>
        <v/>
      </c>
      <c r="AN123" s="152">
        <f>AQ122</f>
        <v/>
      </c>
      <c r="AO123" s="159">
        <f>IF(AN123&gt;0.005,AN123*Debts!D17/12,0)</f>
        <v/>
      </c>
      <c r="AP123" s="159" t="n">
        <v>0</v>
      </c>
      <c r="AQ123" s="152">
        <f>MAX(0,AN123+AO123-AP123)</f>
        <v/>
      </c>
      <c r="AR123" s="152">
        <f>AU122</f>
        <v/>
      </c>
      <c r="AS123" s="159">
        <f>IF(AR123&gt;0.005,AR123*Debts!D18/12,0)</f>
        <v/>
      </c>
      <c r="AT123" s="159" t="n">
        <v>0</v>
      </c>
      <c r="AU123" s="152">
        <f>MAX(0,AR123+AS123-AT123)</f>
        <v/>
      </c>
      <c r="AV123" s="152">
        <f>AY122</f>
        <v/>
      </c>
      <c r="AW123" s="159">
        <f>IF(AV123&gt;0.005,AV123*Debts!D19/12,0)</f>
        <v/>
      </c>
      <c r="AX123" s="159" t="n">
        <v>0</v>
      </c>
      <c r="AY123" s="152">
        <f>MAX(0,AV123+AW123-AX123)</f>
        <v/>
      </c>
      <c r="AZ123" s="152">
        <f>BC122</f>
        <v/>
      </c>
      <c r="BA123" s="159">
        <f>IF(AZ123&gt;0.005,AZ123*Debts!D20/12,0)</f>
        <v/>
      </c>
      <c r="BB123" s="159" t="n">
        <v>0</v>
      </c>
      <c r="BC123" s="152">
        <f>MAX(0,AZ123+BA123-BB123)</f>
        <v/>
      </c>
      <c r="BD123" s="152">
        <f>BG122</f>
        <v/>
      </c>
      <c r="BE123" s="159">
        <f>IF(BD123&gt;0.005,BD123*Debts!D21/12,0)</f>
        <v/>
      </c>
      <c r="BF123" s="159" t="n">
        <v>0</v>
      </c>
      <c r="BG123" s="152">
        <f>MAX(0,BD123+BE123-BF123)</f>
        <v/>
      </c>
      <c r="BH123" s="152">
        <f>BK122</f>
        <v/>
      </c>
      <c r="BI123" s="159">
        <f>IF(BH123&gt;0.005,BH123*Debts!D22/12,0)</f>
        <v/>
      </c>
      <c r="BJ123" s="159" t="n">
        <v>0</v>
      </c>
      <c r="BK123" s="152">
        <f>MAX(0,BH123+BI123-BJ123)</f>
        <v/>
      </c>
      <c r="BL123" s="152">
        <f>BO122</f>
        <v/>
      </c>
      <c r="BM123" s="159">
        <f>IF(BL123&gt;0.005,BL123*Debts!D23/12,0)</f>
        <v/>
      </c>
      <c r="BN123" s="159" t="n">
        <v>0</v>
      </c>
      <c r="BO123" s="152">
        <f>MAX(0,BL123+BM123-BN123)</f>
        <v/>
      </c>
      <c r="BP123" s="152">
        <f>BS122</f>
        <v/>
      </c>
      <c r="BQ123" s="159">
        <f>IF(BP123&gt;0.005,BP123*Debts!D24/12,0)</f>
        <v/>
      </c>
      <c r="BR123" s="159" t="n">
        <v>0</v>
      </c>
      <c r="BS123" s="152">
        <f>MAX(0,BP123+BQ123-BR123)</f>
        <v/>
      </c>
      <c r="BT123" s="152">
        <f>BW122</f>
        <v/>
      </c>
      <c r="BU123" s="159">
        <f>IF(BT123&gt;0.005,BT123*Debts!D25/12,0)</f>
        <v/>
      </c>
      <c r="BV123" s="159" t="n">
        <v>0</v>
      </c>
      <c r="BW123" s="152">
        <f>MAX(0,BT123+BU123-BV123)</f>
        <v/>
      </c>
      <c r="BX123" s="152">
        <f>CA122</f>
        <v/>
      </c>
      <c r="BY123" s="159">
        <f>IF(BX123&gt;0.005,BX123*Debts!D26/12,0)</f>
        <v/>
      </c>
      <c r="BZ123" s="159" t="n">
        <v>0</v>
      </c>
      <c r="CA123" s="152">
        <f>MAX(0,BX123+BY123-BZ123)</f>
        <v/>
      </c>
      <c r="CB123" s="152">
        <f>CE122</f>
        <v/>
      </c>
      <c r="CC123" s="159">
        <f>IF(CB123&gt;0.005,CB123*Debts!D27/12,0)</f>
        <v/>
      </c>
      <c r="CD123" s="159" t="n">
        <v>0</v>
      </c>
      <c r="CE123" s="152">
        <f>MAX(0,CB123+CC123-CD123)</f>
        <v/>
      </c>
      <c r="CF123" s="152">
        <f>G123+K123+O123+S123+W123+AA123+AE123+AI123+AM123+AQ123+AU123+AY123+BC123+BG123+BK123+BO123+BS123+BW123+CA123+CE123</f>
        <v/>
      </c>
      <c r="CG123" s="159">
        <f>E123+I123+M123+Q123+U123+Y123+AC123+AG123+AK123+AO123+AS123+AW123+BA123+BE123+BI123+BM123+BQ123+BU123+BY123+CC123</f>
        <v/>
      </c>
      <c r="CH123" s="152">
        <f>CH122+CG123</f>
        <v/>
      </c>
      <c r="CI123" s="148" t="n"/>
      <c r="CJ123" s="148" t="n"/>
    </row>
    <row r="124" ht="15" customHeight="1" s="83">
      <c r="A124" s="148" t="n"/>
      <c r="B124" s="158" t="n">
        <v>120</v>
      </c>
      <c r="C124" s="152">
        <f>F124+J124+N124+R124+V124+Z124+AD124+AH124+AL124+AP124+AT124+AX124+BB124+BF124+BJ124+BN124+BR124+BV124+BZ124+CD124</f>
        <v/>
      </c>
      <c r="D124" s="152">
        <f>G123</f>
        <v/>
      </c>
      <c r="E124" s="159">
        <f>IF(D124&gt;0.005,D124*Debts!D8/12,0)</f>
        <v/>
      </c>
      <c r="F124" s="159" t="n">
        <v>0</v>
      </c>
      <c r="G124" s="152">
        <f>MAX(0,D124+E124-F124)</f>
        <v/>
      </c>
      <c r="H124" s="152">
        <f>K123</f>
        <v/>
      </c>
      <c r="I124" s="159">
        <f>IF(H124&gt;0.005,H124*Debts!D9/12,0)</f>
        <v/>
      </c>
      <c r="J124" s="159" t="n">
        <v>0</v>
      </c>
      <c r="K124" s="152">
        <f>MAX(0,H124+I124-J124)</f>
        <v/>
      </c>
      <c r="L124" s="152">
        <f>O123</f>
        <v/>
      </c>
      <c r="M124" s="159">
        <f>IF(L124&gt;0.005,L124*Debts!D10/12,0)</f>
        <v/>
      </c>
      <c r="N124" s="159" t="n">
        <v>0</v>
      </c>
      <c r="O124" s="152">
        <f>MAX(0,L124+M124-N124)</f>
        <v/>
      </c>
      <c r="P124" s="152">
        <f>S123</f>
        <v/>
      </c>
      <c r="Q124" s="159">
        <f>IF(P124&gt;0.005,P124*Debts!D11/12,0)</f>
        <v/>
      </c>
      <c r="R124" s="159" t="n">
        <v>0</v>
      </c>
      <c r="S124" s="152">
        <f>MAX(0,P124+Q124-R124)</f>
        <v/>
      </c>
      <c r="T124" s="152">
        <f>W123</f>
        <v/>
      </c>
      <c r="U124" s="159">
        <f>IF(T124&gt;0.005,T124*Debts!D12/12,0)</f>
        <v/>
      </c>
      <c r="V124" s="159" t="n">
        <v>0</v>
      </c>
      <c r="W124" s="152">
        <f>MAX(0,T124+U124-V124)</f>
        <v/>
      </c>
      <c r="X124" s="152">
        <f>AA123</f>
        <v/>
      </c>
      <c r="Y124" s="159">
        <f>IF(X124&gt;0.005,X124*Debts!D13/12,0)</f>
        <v/>
      </c>
      <c r="Z124" s="159" t="n">
        <v>0</v>
      </c>
      <c r="AA124" s="152">
        <f>MAX(0,X124+Y124-Z124)</f>
        <v/>
      </c>
      <c r="AB124" s="152">
        <f>AE123</f>
        <v/>
      </c>
      <c r="AC124" s="159">
        <f>IF(AB124&gt;0.005,AB124*Debts!D14/12,0)</f>
        <v/>
      </c>
      <c r="AD124" s="159" t="n">
        <v>0</v>
      </c>
      <c r="AE124" s="152">
        <f>MAX(0,AB124+AC124-AD124)</f>
        <v/>
      </c>
      <c r="AF124" s="152">
        <f>AI123</f>
        <v/>
      </c>
      <c r="AG124" s="159">
        <f>IF(AF124&gt;0.005,AF124*Debts!D15/12,0)</f>
        <v/>
      </c>
      <c r="AH124" s="159" t="n">
        <v>0</v>
      </c>
      <c r="AI124" s="152">
        <f>MAX(0,AF124+AG124-AH124)</f>
        <v/>
      </c>
      <c r="AJ124" s="152">
        <f>AM123</f>
        <v/>
      </c>
      <c r="AK124" s="159">
        <f>IF(AJ124&gt;0.005,AJ124*Debts!D16/12,0)</f>
        <v/>
      </c>
      <c r="AL124" s="159" t="n">
        <v>0</v>
      </c>
      <c r="AM124" s="152">
        <f>MAX(0,AJ124+AK124-AL124)</f>
        <v/>
      </c>
      <c r="AN124" s="152">
        <f>AQ123</f>
        <v/>
      </c>
      <c r="AO124" s="159">
        <f>IF(AN124&gt;0.005,AN124*Debts!D17/12,0)</f>
        <v/>
      </c>
      <c r="AP124" s="159" t="n">
        <v>0</v>
      </c>
      <c r="AQ124" s="152">
        <f>MAX(0,AN124+AO124-AP124)</f>
        <v/>
      </c>
      <c r="AR124" s="152">
        <f>AU123</f>
        <v/>
      </c>
      <c r="AS124" s="159">
        <f>IF(AR124&gt;0.005,AR124*Debts!D18/12,0)</f>
        <v/>
      </c>
      <c r="AT124" s="159" t="n">
        <v>0</v>
      </c>
      <c r="AU124" s="152">
        <f>MAX(0,AR124+AS124-AT124)</f>
        <v/>
      </c>
      <c r="AV124" s="152">
        <f>AY123</f>
        <v/>
      </c>
      <c r="AW124" s="159">
        <f>IF(AV124&gt;0.005,AV124*Debts!D19/12,0)</f>
        <v/>
      </c>
      <c r="AX124" s="159" t="n">
        <v>0</v>
      </c>
      <c r="AY124" s="152">
        <f>MAX(0,AV124+AW124-AX124)</f>
        <v/>
      </c>
      <c r="AZ124" s="152">
        <f>BC123</f>
        <v/>
      </c>
      <c r="BA124" s="159">
        <f>IF(AZ124&gt;0.005,AZ124*Debts!D20/12,0)</f>
        <v/>
      </c>
      <c r="BB124" s="159" t="n">
        <v>0</v>
      </c>
      <c r="BC124" s="152">
        <f>MAX(0,AZ124+BA124-BB124)</f>
        <v/>
      </c>
      <c r="BD124" s="152">
        <f>BG123</f>
        <v/>
      </c>
      <c r="BE124" s="159">
        <f>IF(BD124&gt;0.005,BD124*Debts!D21/12,0)</f>
        <v/>
      </c>
      <c r="BF124" s="159" t="n">
        <v>0</v>
      </c>
      <c r="BG124" s="152">
        <f>MAX(0,BD124+BE124-BF124)</f>
        <v/>
      </c>
      <c r="BH124" s="152">
        <f>BK123</f>
        <v/>
      </c>
      <c r="BI124" s="159">
        <f>IF(BH124&gt;0.005,BH124*Debts!D22/12,0)</f>
        <v/>
      </c>
      <c r="BJ124" s="159" t="n">
        <v>0</v>
      </c>
      <c r="BK124" s="152">
        <f>MAX(0,BH124+BI124-BJ124)</f>
        <v/>
      </c>
      <c r="BL124" s="152">
        <f>BO123</f>
        <v/>
      </c>
      <c r="BM124" s="159">
        <f>IF(BL124&gt;0.005,BL124*Debts!D23/12,0)</f>
        <v/>
      </c>
      <c r="BN124" s="159" t="n">
        <v>0</v>
      </c>
      <c r="BO124" s="152">
        <f>MAX(0,BL124+BM124-BN124)</f>
        <v/>
      </c>
      <c r="BP124" s="152">
        <f>BS123</f>
        <v/>
      </c>
      <c r="BQ124" s="159">
        <f>IF(BP124&gt;0.005,BP124*Debts!D24/12,0)</f>
        <v/>
      </c>
      <c r="BR124" s="159" t="n">
        <v>0</v>
      </c>
      <c r="BS124" s="152">
        <f>MAX(0,BP124+BQ124-BR124)</f>
        <v/>
      </c>
      <c r="BT124" s="152">
        <f>BW123</f>
        <v/>
      </c>
      <c r="BU124" s="159">
        <f>IF(BT124&gt;0.005,BT124*Debts!D25/12,0)</f>
        <v/>
      </c>
      <c r="BV124" s="159" t="n">
        <v>0</v>
      </c>
      <c r="BW124" s="152">
        <f>MAX(0,BT124+BU124-BV124)</f>
        <v/>
      </c>
      <c r="BX124" s="152">
        <f>CA123</f>
        <v/>
      </c>
      <c r="BY124" s="159">
        <f>IF(BX124&gt;0.005,BX124*Debts!D26/12,0)</f>
        <v/>
      </c>
      <c r="BZ124" s="159" t="n">
        <v>0</v>
      </c>
      <c r="CA124" s="152">
        <f>MAX(0,BX124+BY124-BZ124)</f>
        <v/>
      </c>
      <c r="CB124" s="152">
        <f>CE123</f>
        <v/>
      </c>
      <c r="CC124" s="159">
        <f>IF(CB124&gt;0.005,CB124*Debts!D27/12,0)</f>
        <v/>
      </c>
      <c r="CD124" s="159" t="n">
        <v>0</v>
      </c>
      <c r="CE124" s="152">
        <f>MAX(0,CB124+CC124-CD124)</f>
        <v/>
      </c>
      <c r="CF124" s="152">
        <f>G124+K124+O124+S124+W124+AA124+AE124+AI124+AM124+AQ124+AU124+AY124+BC124+BG124+BK124+BO124+BS124+BW124+CA124+CE124</f>
        <v/>
      </c>
      <c r="CG124" s="159">
        <f>E124+I124+M124+Q124+U124+Y124+AC124+AG124+AK124+AO124+AS124+AW124+BA124+BE124+BI124+BM124+BQ124+BU124+BY124+CC124</f>
        <v/>
      </c>
      <c r="CH124" s="152">
        <f>CH123+CG124</f>
        <v/>
      </c>
      <c r="CI124" s="148" t="n"/>
      <c r="CJ124" s="148" t="n"/>
    </row>
  </sheetData>
  <sheetProtection selectLockedCells="0" selectUnlockedCells="0" sheet="1" objects="1" insertRows="1" insertHyperlinks="1" autoFilter="0" scenarios="1" formatColumns="0" deleteColumns="1" insertColumns="1" pivotTables="1" deleteRows="1" formatCells="0" formatRows="0" sort="0"/>
  <mergeCells count="1">
    <mergeCell ref="B1:F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 filterMode="0">
    <tabColor rgb="002D8C6F"/>
    <outlinePr summaryBelow="1" summaryRight="1"/>
    <pageSetUpPr fitToPage="0"/>
  </sheetPr>
  <dimension ref="A1:CJ12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baseColWidth="8" defaultColWidth="8.6796875" defaultRowHeight="15" zeroHeight="0" outlineLevelRow="0"/>
  <cols>
    <col width="3" customWidth="1" style="82" min="1" max="1"/>
    <col width="8" customWidth="1" style="82" min="2" max="2"/>
    <col width="12" customWidth="1" style="82" min="3" max="3"/>
    <col width="11" customWidth="1" style="82" min="4" max="83"/>
    <col width="14" customWidth="1" style="82" min="84" max="86"/>
  </cols>
  <sheetData>
    <row r="1" ht="42" customHeight="1" s="83">
      <c r="A1" s="148" t="n"/>
      <c r="B1" s="149" t="inlineStr">
        <is>
          <t>●  AVALANCHE SCHEDULE</t>
        </is>
      </c>
      <c r="G1" s="85" t="n"/>
      <c r="H1" s="85" t="n"/>
      <c r="I1" s="85" t="n"/>
      <c r="J1" s="85" t="n"/>
      <c r="K1" s="148" t="n"/>
      <c r="L1" s="148" t="n"/>
      <c r="M1" s="148" t="n"/>
      <c r="N1" s="148" t="n"/>
      <c r="O1" s="148" t="n"/>
      <c r="P1" s="148" t="n"/>
      <c r="Q1" s="148" t="n"/>
      <c r="R1" s="148" t="n"/>
      <c r="S1" s="148" t="n"/>
      <c r="T1" s="148" t="n"/>
      <c r="U1" s="148" t="n"/>
      <c r="V1" s="148" t="n"/>
      <c r="W1" s="148" t="n"/>
      <c r="X1" s="148" t="n"/>
      <c r="Y1" s="148" t="n"/>
      <c r="Z1" s="148" t="n"/>
      <c r="AA1" s="148" t="n"/>
      <c r="AB1" s="148" t="n"/>
      <c r="AC1" s="148" t="n"/>
      <c r="AD1" s="148" t="n"/>
      <c r="AE1" s="148" t="n"/>
      <c r="AF1" s="148" t="n"/>
      <c r="AG1" s="148" t="n"/>
      <c r="AH1" s="148" t="n"/>
      <c r="AI1" s="148" t="n"/>
      <c r="AJ1" s="148" t="n"/>
      <c r="AK1" s="148" t="n"/>
      <c r="AL1" s="148" t="n"/>
      <c r="AM1" s="148" t="n"/>
      <c r="AN1" s="148" t="n"/>
      <c r="AO1" s="148" t="n"/>
      <c r="AP1" s="148" t="n"/>
      <c r="AQ1" s="148" t="n"/>
      <c r="AR1" s="148" t="n"/>
      <c r="AS1" s="148" t="n"/>
      <c r="AT1" s="148" t="n"/>
      <c r="AU1" s="148" t="n"/>
      <c r="AV1" s="148" t="n"/>
      <c r="AW1" s="148" t="n"/>
      <c r="AX1" s="148" t="n"/>
      <c r="AY1" s="148" t="n"/>
      <c r="AZ1" s="148" t="n"/>
      <c r="BA1" s="148" t="n"/>
      <c r="BB1" s="148" t="n"/>
      <c r="BC1" s="148" t="n"/>
      <c r="BD1" s="148" t="n"/>
      <c r="BE1" s="148" t="n"/>
      <c r="BF1" s="148" t="n"/>
      <c r="BG1" s="148" t="n"/>
      <c r="BH1" s="148" t="n"/>
      <c r="BI1" s="148" t="n"/>
      <c r="BJ1" s="148" t="n"/>
      <c r="BK1" s="148" t="n"/>
      <c r="BL1" s="148" t="n"/>
      <c r="BM1" s="148" t="n"/>
      <c r="BN1" s="148" t="n"/>
      <c r="BO1" s="148" t="n"/>
      <c r="BP1" s="148" t="n"/>
      <c r="BQ1" s="148" t="n"/>
      <c r="BR1" s="148" t="n"/>
      <c r="BS1" s="148" t="n"/>
      <c r="BT1" s="148" t="n"/>
      <c r="BU1" s="148" t="n"/>
      <c r="BV1" s="148" t="n"/>
      <c r="BW1" s="148" t="n"/>
      <c r="BX1" s="148" t="n"/>
      <c r="BY1" s="148" t="n"/>
      <c r="BZ1" s="148" t="n"/>
      <c r="CA1" s="148" t="n"/>
      <c r="CB1" s="148" t="n"/>
      <c r="CC1" s="148" t="n"/>
      <c r="CD1" s="148" t="n"/>
      <c r="CE1" s="148" t="n"/>
      <c r="CF1" s="148" t="n"/>
      <c r="CG1" s="148" t="n"/>
      <c r="CH1" s="148" t="n"/>
      <c r="CI1" s="148" t="n"/>
      <c r="CJ1" s="148" t="n"/>
    </row>
    <row r="2" ht="15" customHeight="1" s="83">
      <c r="A2" s="148" t="n"/>
      <c r="B2" s="135" t="inlineStr">
        <is>
          <t>Month</t>
        </is>
      </c>
      <c r="C2" s="135" t="inlineStr">
        <is>
          <t>Total Paid</t>
        </is>
      </c>
      <c r="D2" s="150">
        <f>IF(Debts!B8="","—",Debts!B8)</f>
        <v/>
      </c>
      <c r="E2" s="148" t="n"/>
      <c r="F2" s="148" t="n"/>
      <c r="G2" s="148" t="n"/>
      <c r="H2" s="150">
        <f>IF(Debts!B9="","—",Debts!B9)</f>
        <v/>
      </c>
      <c r="I2" s="148" t="n"/>
      <c r="J2" s="148" t="n"/>
      <c r="K2" s="148" t="n"/>
      <c r="L2" s="150">
        <f>IF(Debts!B10="","—",Debts!B10)</f>
        <v/>
      </c>
      <c r="M2" s="148" t="n"/>
      <c r="N2" s="148" t="n"/>
      <c r="O2" s="148" t="n"/>
      <c r="P2" s="150">
        <f>IF(Debts!B11="","—",Debts!B11)</f>
        <v/>
      </c>
      <c r="Q2" s="148" t="n"/>
      <c r="R2" s="148" t="n"/>
      <c r="S2" s="148" t="n"/>
      <c r="T2" s="150">
        <f>IF(Debts!B12="","—",Debts!B12)</f>
        <v/>
      </c>
      <c r="U2" s="148" t="n"/>
      <c r="V2" s="148" t="n"/>
      <c r="W2" s="148" t="n"/>
      <c r="X2" s="150">
        <f>IF(Debts!B13="","—",Debts!B13)</f>
        <v/>
      </c>
      <c r="Y2" s="148" t="n"/>
      <c r="Z2" s="148" t="n"/>
      <c r="AA2" s="148" t="n"/>
      <c r="AB2" s="150">
        <f>IF(Debts!B14="","—",Debts!B14)</f>
        <v/>
      </c>
      <c r="AC2" s="148" t="n"/>
      <c r="AD2" s="148" t="n"/>
      <c r="AE2" s="148" t="n"/>
      <c r="AF2" s="150">
        <f>IF(Debts!B15="","—",Debts!B15)</f>
        <v/>
      </c>
      <c r="AG2" s="148" t="n"/>
      <c r="AH2" s="148" t="n"/>
      <c r="AI2" s="148" t="n"/>
      <c r="AJ2" s="150">
        <f>IF(Debts!B16="","—",Debts!B16)</f>
        <v/>
      </c>
      <c r="AK2" s="148" t="n"/>
      <c r="AL2" s="148" t="n"/>
      <c r="AM2" s="148" t="n"/>
      <c r="AN2" s="150">
        <f>IF(Debts!B17="","—",Debts!B17)</f>
        <v/>
      </c>
      <c r="AO2" s="148" t="n"/>
      <c r="AP2" s="148" t="n"/>
      <c r="AQ2" s="148" t="n"/>
      <c r="AR2" s="150">
        <f>IF(Debts!B18="","—",Debts!B18)</f>
        <v/>
      </c>
      <c r="AS2" s="148" t="n"/>
      <c r="AT2" s="148" t="n"/>
      <c r="AU2" s="148" t="n"/>
      <c r="AV2" s="150">
        <f>IF(Debts!B19="","—",Debts!B19)</f>
        <v/>
      </c>
      <c r="AW2" s="148" t="n"/>
      <c r="AX2" s="148" t="n"/>
      <c r="AY2" s="148" t="n"/>
      <c r="AZ2" s="150">
        <f>IF(Debts!B20="","—",Debts!B20)</f>
        <v/>
      </c>
      <c r="BA2" s="148" t="n"/>
      <c r="BB2" s="148" t="n"/>
      <c r="BC2" s="148" t="n"/>
      <c r="BD2" s="150">
        <f>IF(Debts!B21="","—",Debts!B21)</f>
        <v/>
      </c>
      <c r="BE2" s="148" t="n"/>
      <c r="BF2" s="148" t="n"/>
      <c r="BG2" s="148" t="n"/>
      <c r="BH2" s="150">
        <f>IF(Debts!B22="","—",Debts!B22)</f>
        <v/>
      </c>
      <c r="BI2" s="148" t="n"/>
      <c r="BJ2" s="148" t="n"/>
      <c r="BK2" s="148" t="n"/>
      <c r="BL2" s="150">
        <f>IF(Debts!B23="","—",Debts!B23)</f>
        <v/>
      </c>
      <c r="BM2" s="148" t="n"/>
      <c r="BN2" s="148" t="n"/>
      <c r="BO2" s="148" t="n"/>
      <c r="BP2" s="150">
        <f>IF(Debts!B24="","—",Debts!B24)</f>
        <v/>
      </c>
      <c r="BQ2" s="148" t="n"/>
      <c r="BR2" s="148" t="n"/>
      <c r="BS2" s="148" t="n"/>
      <c r="BT2" s="150">
        <f>IF(Debts!B25="","—",Debts!B25)</f>
        <v/>
      </c>
      <c r="BU2" s="148" t="n"/>
      <c r="BV2" s="148" t="n"/>
      <c r="BW2" s="148" t="n"/>
      <c r="BX2" s="150">
        <f>IF(Debts!B26="","—",Debts!B26)</f>
        <v/>
      </c>
      <c r="BY2" s="148" t="n"/>
      <c r="BZ2" s="148" t="n"/>
      <c r="CA2" s="148" t="n"/>
      <c r="CB2" s="150">
        <f>IF(Debts!B27="","—",Debts!B27)</f>
        <v/>
      </c>
      <c r="CC2" s="148" t="n"/>
      <c r="CD2" s="148" t="n"/>
      <c r="CE2" s="148" t="n"/>
      <c r="CF2" s="151" t="inlineStr">
        <is>
          <t>Total Rem</t>
        </is>
      </c>
      <c r="CG2" s="151" t="inlineStr">
        <is>
          <t>Month Int</t>
        </is>
      </c>
      <c r="CH2" s="151" t="inlineStr">
        <is>
          <t>Cum Int</t>
        </is>
      </c>
      <c r="CI2" s="148" t="n"/>
      <c r="CJ2" s="152">
        <f>CH124</f>
        <v/>
      </c>
    </row>
    <row r="3" ht="15" customHeight="1" s="83">
      <c r="A3" s="148" t="n"/>
      <c r="B3" s="148" t="n"/>
      <c r="C3" s="148" t="n"/>
      <c r="D3" s="123" t="inlineStr">
        <is>
          <t>Bal</t>
        </is>
      </c>
      <c r="E3" s="123" t="inlineStr">
        <is>
          <t>Int</t>
        </is>
      </c>
      <c r="F3" s="123" t="inlineStr">
        <is>
          <t>Pmt</t>
        </is>
      </c>
      <c r="G3" s="123" t="inlineStr">
        <is>
          <t>End</t>
        </is>
      </c>
      <c r="H3" s="123" t="inlineStr">
        <is>
          <t>Bal</t>
        </is>
      </c>
      <c r="I3" s="123" t="inlineStr">
        <is>
          <t>Int</t>
        </is>
      </c>
      <c r="J3" s="123" t="inlineStr">
        <is>
          <t>Pmt</t>
        </is>
      </c>
      <c r="K3" s="123" t="inlineStr">
        <is>
          <t>End</t>
        </is>
      </c>
      <c r="L3" s="123" t="inlineStr">
        <is>
          <t>Bal</t>
        </is>
      </c>
      <c r="M3" s="123" t="inlineStr">
        <is>
          <t>Int</t>
        </is>
      </c>
      <c r="N3" s="123" t="inlineStr">
        <is>
          <t>Pmt</t>
        </is>
      </c>
      <c r="O3" s="123" t="inlineStr">
        <is>
          <t>End</t>
        </is>
      </c>
      <c r="P3" s="123" t="inlineStr">
        <is>
          <t>Bal</t>
        </is>
      </c>
      <c r="Q3" s="123" t="inlineStr">
        <is>
          <t>Int</t>
        </is>
      </c>
      <c r="R3" s="123" t="inlineStr">
        <is>
          <t>Pmt</t>
        </is>
      </c>
      <c r="S3" s="123" t="inlineStr">
        <is>
          <t>End</t>
        </is>
      </c>
      <c r="T3" s="123" t="inlineStr">
        <is>
          <t>Bal</t>
        </is>
      </c>
      <c r="U3" s="123" t="inlineStr">
        <is>
          <t>Int</t>
        </is>
      </c>
      <c r="V3" s="123" t="inlineStr">
        <is>
          <t>Pmt</t>
        </is>
      </c>
      <c r="W3" s="123" t="inlineStr">
        <is>
          <t>End</t>
        </is>
      </c>
      <c r="X3" s="123" t="inlineStr">
        <is>
          <t>Bal</t>
        </is>
      </c>
      <c r="Y3" s="123" t="inlineStr">
        <is>
          <t>Int</t>
        </is>
      </c>
      <c r="Z3" s="123" t="inlineStr">
        <is>
          <t>Pmt</t>
        </is>
      </c>
      <c r="AA3" s="123" t="inlineStr">
        <is>
          <t>End</t>
        </is>
      </c>
      <c r="AB3" s="123" t="inlineStr">
        <is>
          <t>Bal</t>
        </is>
      </c>
      <c r="AC3" s="123" t="inlineStr">
        <is>
          <t>Int</t>
        </is>
      </c>
      <c r="AD3" s="123" t="inlineStr">
        <is>
          <t>Pmt</t>
        </is>
      </c>
      <c r="AE3" s="123" t="inlineStr">
        <is>
          <t>End</t>
        </is>
      </c>
      <c r="AF3" s="123" t="inlineStr">
        <is>
          <t>Bal</t>
        </is>
      </c>
      <c r="AG3" s="123" t="inlineStr">
        <is>
          <t>Int</t>
        </is>
      </c>
      <c r="AH3" s="123" t="inlineStr">
        <is>
          <t>Pmt</t>
        </is>
      </c>
      <c r="AI3" s="123" t="inlineStr">
        <is>
          <t>End</t>
        </is>
      </c>
      <c r="AJ3" s="123" t="inlineStr">
        <is>
          <t>Bal</t>
        </is>
      </c>
      <c r="AK3" s="123" t="inlineStr">
        <is>
          <t>Int</t>
        </is>
      </c>
      <c r="AL3" s="123" t="inlineStr">
        <is>
          <t>Pmt</t>
        </is>
      </c>
      <c r="AM3" s="123" t="inlineStr">
        <is>
          <t>End</t>
        </is>
      </c>
      <c r="AN3" s="123" t="inlineStr">
        <is>
          <t>Bal</t>
        </is>
      </c>
      <c r="AO3" s="123" t="inlineStr">
        <is>
          <t>Int</t>
        </is>
      </c>
      <c r="AP3" s="123" t="inlineStr">
        <is>
          <t>Pmt</t>
        </is>
      </c>
      <c r="AQ3" s="123" t="inlineStr">
        <is>
          <t>End</t>
        </is>
      </c>
      <c r="AR3" s="123" t="inlineStr">
        <is>
          <t>Bal</t>
        </is>
      </c>
      <c r="AS3" s="123" t="inlineStr">
        <is>
          <t>Int</t>
        </is>
      </c>
      <c r="AT3" s="123" t="inlineStr">
        <is>
          <t>Pmt</t>
        </is>
      </c>
      <c r="AU3" s="123" t="inlineStr">
        <is>
          <t>End</t>
        </is>
      </c>
      <c r="AV3" s="123" t="inlineStr">
        <is>
          <t>Bal</t>
        </is>
      </c>
      <c r="AW3" s="123" t="inlineStr">
        <is>
          <t>Int</t>
        </is>
      </c>
      <c r="AX3" s="123" t="inlineStr">
        <is>
          <t>Pmt</t>
        </is>
      </c>
      <c r="AY3" s="123" t="inlineStr">
        <is>
          <t>End</t>
        </is>
      </c>
      <c r="AZ3" s="123" t="inlineStr">
        <is>
          <t>Bal</t>
        </is>
      </c>
      <c r="BA3" s="123" t="inlineStr">
        <is>
          <t>Int</t>
        </is>
      </c>
      <c r="BB3" s="123" t="inlineStr">
        <is>
          <t>Pmt</t>
        </is>
      </c>
      <c r="BC3" s="123" t="inlineStr">
        <is>
          <t>End</t>
        </is>
      </c>
      <c r="BD3" s="123" t="inlineStr">
        <is>
          <t>Bal</t>
        </is>
      </c>
      <c r="BE3" s="123" t="inlineStr">
        <is>
          <t>Int</t>
        </is>
      </c>
      <c r="BF3" s="123" t="inlineStr">
        <is>
          <t>Pmt</t>
        </is>
      </c>
      <c r="BG3" s="123" t="inlineStr">
        <is>
          <t>End</t>
        </is>
      </c>
      <c r="BH3" s="123" t="inlineStr">
        <is>
          <t>Bal</t>
        </is>
      </c>
      <c r="BI3" s="123" t="inlineStr">
        <is>
          <t>Int</t>
        </is>
      </c>
      <c r="BJ3" s="123" t="inlineStr">
        <is>
          <t>Pmt</t>
        </is>
      </c>
      <c r="BK3" s="123" t="inlineStr">
        <is>
          <t>End</t>
        </is>
      </c>
      <c r="BL3" s="123" t="inlineStr">
        <is>
          <t>Bal</t>
        </is>
      </c>
      <c r="BM3" s="123" t="inlineStr">
        <is>
          <t>Int</t>
        </is>
      </c>
      <c r="BN3" s="123" t="inlineStr">
        <is>
          <t>Pmt</t>
        </is>
      </c>
      <c r="BO3" s="123" t="inlineStr">
        <is>
          <t>End</t>
        </is>
      </c>
      <c r="BP3" s="123" t="inlineStr">
        <is>
          <t>Bal</t>
        </is>
      </c>
      <c r="BQ3" s="123" t="inlineStr">
        <is>
          <t>Int</t>
        </is>
      </c>
      <c r="BR3" s="123" t="inlineStr">
        <is>
          <t>Pmt</t>
        </is>
      </c>
      <c r="BS3" s="123" t="inlineStr">
        <is>
          <t>End</t>
        </is>
      </c>
      <c r="BT3" s="123" t="inlineStr">
        <is>
          <t>Bal</t>
        </is>
      </c>
      <c r="BU3" s="123" t="inlineStr">
        <is>
          <t>Int</t>
        </is>
      </c>
      <c r="BV3" s="123" t="inlineStr">
        <is>
          <t>Pmt</t>
        </is>
      </c>
      <c r="BW3" s="123" t="inlineStr">
        <is>
          <t>End</t>
        </is>
      </c>
      <c r="BX3" s="123" t="inlineStr">
        <is>
          <t>Bal</t>
        </is>
      </c>
      <c r="BY3" s="123" t="inlineStr">
        <is>
          <t>Int</t>
        </is>
      </c>
      <c r="BZ3" s="123" t="inlineStr">
        <is>
          <t>Pmt</t>
        </is>
      </c>
      <c r="CA3" s="123" t="inlineStr">
        <is>
          <t>End</t>
        </is>
      </c>
      <c r="CB3" s="123" t="inlineStr">
        <is>
          <t>Bal</t>
        </is>
      </c>
      <c r="CC3" s="123" t="inlineStr">
        <is>
          <t>Int</t>
        </is>
      </c>
      <c r="CD3" s="123" t="inlineStr">
        <is>
          <t>Pmt</t>
        </is>
      </c>
      <c r="CE3" s="123" t="inlineStr">
        <is>
          <t>End</t>
        </is>
      </c>
      <c r="CF3" s="148" t="n"/>
      <c r="CG3" s="148" t="n"/>
      <c r="CH3" s="148" t="n"/>
      <c r="CI3" s="148" t="n"/>
      <c r="CJ3" s="153">
        <f>IFERROR(DATE(YEAR(TODAY()),MONTH(TODAY())+MATCH(TRUE(),INDEX(CF5:CF124&lt;=0.01,0),0),DAY(TODAY())),"10+ years")</f>
        <v/>
      </c>
    </row>
    <row r="4" ht="15" customHeight="1" s="83">
      <c r="A4" s="148" t="n"/>
      <c r="B4" s="154" t="n">
        <v>0</v>
      </c>
      <c r="C4" s="155" t="n">
        <v>0</v>
      </c>
      <c r="D4" s="155">
        <f>IF(Debts!C8="",0,Debts!C8)</f>
        <v/>
      </c>
      <c r="E4" s="154" t="n">
        <v>0</v>
      </c>
      <c r="F4" s="154" t="n">
        <v>0</v>
      </c>
      <c r="G4" s="155">
        <f>IF(Debts!C8="",0,Debts!C8)</f>
        <v/>
      </c>
      <c r="H4" s="155">
        <f>IF(Debts!C9="",0,Debts!C9)</f>
        <v/>
      </c>
      <c r="I4" s="154" t="n">
        <v>0</v>
      </c>
      <c r="J4" s="154" t="n">
        <v>0</v>
      </c>
      <c r="K4" s="155">
        <f>IF(Debts!C9="",0,Debts!C9)</f>
        <v/>
      </c>
      <c r="L4" s="155">
        <f>IF(Debts!C10="",0,Debts!C10)</f>
        <v/>
      </c>
      <c r="M4" s="154" t="n">
        <v>0</v>
      </c>
      <c r="N4" s="154" t="n">
        <v>0</v>
      </c>
      <c r="O4" s="155">
        <f>IF(Debts!C10="",0,Debts!C10)</f>
        <v/>
      </c>
      <c r="P4" s="155">
        <f>IF(Debts!C11="",0,Debts!C11)</f>
        <v/>
      </c>
      <c r="Q4" s="154" t="n">
        <v>0</v>
      </c>
      <c r="R4" s="154" t="n">
        <v>0</v>
      </c>
      <c r="S4" s="155">
        <f>IF(Debts!C11="",0,Debts!C11)</f>
        <v/>
      </c>
      <c r="T4" s="155">
        <f>IF(Debts!C12="",0,Debts!C12)</f>
        <v/>
      </c>
      <c r="U4" s="154" t="n">
        <v>0</v>
      </c>
      <c r="V4" s="154" t="n">
        <v>0</v>
      </c>
      <c r="W4" s="155">
        <f>IF(Debts!C12="",0,Debts!C12)</f>
        <v/>
      </c>
      <c r="X4" s="155">
        <f>IF(Debts!C13="",0,Debts!C13)</f>
        <v/>
      </c>
      <c r="Y4" s="154" t="n">
        <v>0</v>
      </c>
      <c r="Z4" s="154" t="n">
        <v>0</v>
      </c>
      <c r="AA4" s="155">
        <f>IF(Debts!C13="",0,Debts!C13)</f>
        <v/>
      </c>
      <c r="AB4" s="155">
        <f>IF(Debts!C14="",0,Debts!C14)</f>
        <v/>
      </c>
      <c r="AC4" s="154" t="n">
        <v>0</v>
      </c>
      <c r="AD4" s="154" t="n">
        <v>0</v>
      </c>
      <c r="AE4" s="155">
        <f>IF(Debts!C14="",0,Debts!C14)</f>
        <v/>
      </c>
      <c r="AF4" s="155">
        <f>IF(Debts!C15="",0,Debts!C15)</f>
        <v/>
      </c>
      <c r="AG4" s="154" t="n">
        <v>0</v>
      </c>
      <c r="AH4" s="154" t="n">
        <v>0</v>
      </c>
      <c r="AI4" s="155">
        <f>IF(Debts!C15="",0,Debts!C15)</f>
        <v/>
      </c>
      <c r="AJ4" s="155">
        <f>IF(Debts!C16="",0,Debts!C16)</f>
        <v/>
      </c>
      <c r="AK4" s="154" t="n">
        <v>0</v>
      </c>
      <c r="AL4" s="154" t="n">
        <v>0</v>
      </c>
      <c r="AM4" s="155">
        <f>IF(Debts!C16="",0,Debts!C16)</f>
        <v/>
      </c>
      <c r="AN4" s="155">
        <f>IF(Debts!C17="",0,Debts!C17)</f>
        <v/>
      </c>
      <c r="AO4" s="154" t="n">
        <v>0</v>
      </c>
      <c r="AP4" s="154" t="n">
        <v>0</v>
      </c>
      <c r="AQ4" s="155">
        <f>IF(Debts!C17="",0,Debts!C17)</f>
        <v/>
      </c>
      <c r="AR4" s="155">
        <f>IF(Debts!C18="",0,Debts!C18)</f>
        <v/>
      </c>
      <c r="AS4" s="154" t="n">
        <v>0</v>
      </c>
      <c r="AT4" s="154" t="n">
        <v>0</v>
      </c>
      <c r="AU4" s="155">
        <f>IF(Debts!C18="",0,Debts!C18)</f>
        <v/>
      </c>
      <c r="AV4" s="155">
        <f>IF(Debts!C19="",0,Debts!C19)</f>
        <v/>
      </c>
      <c r="AW4" s="154" t="n">
        <v>0</v>
      </c>
      <c r="AX4" s="154" t="n">
        <v>0</v>
      </c>
      <c r="AY4" s="155">
        <f>IF(Debts!C19="",0,Debts!C19)</f>
        <v/>
      </c>
      <c r="AZ4" s="155">
        <f>IF(Debts!C20="",0,Debts!C20)</f>
        <v/>
      </c>
      <c r="BA4" s="154" t="n">
        <v>0</v>
      </c>
      <c r="BB4" s="154" t="n">
        <v>0</v>
      </c>
      <c r="BC4" s="155">
        <f>IF(Debts!C20="",0,Debts!C20)</f>
        <v/>
      </c>
      <c r="BD4" s="155">
        <f>IF(Debts!C21="",0,Debts!C21)</f>
        <v/>
      </c>
      <c r="BE4" s="154" t="n">
        <v>0</v>
      </c>
      <c r="BF4" s="154" t="n">
        <v>0</v>
      </c>
      <c r="BG4" s="155">
        <f>IF(Debts!C21="",0,Debts!C21)</f>
        <v/>
      </c>
      <c r="BH4" s="155">
        <f>IF(Debts!C22="",0,Debts!C22)</f>
        <v/>
      </c>
      <c r="BI4" s="154" t="n">
        <v>0</v>
      </c>
      <c r="BJ4" s="154" t="n">
        <v>0</v>
      </c>
      <c r="BK4" s="155">
        <f>IF(Debts!C22="",0,Debts!C22)</f>
        <v/>
      </c>
      <c r="BL4" s="155">
        <f>IF(Debts!C23="",0,Debts!C23)</f>
        <v/>
      </c>
      <c r="BM4" s="154" t="n">
        <v>0</v>
      </c>
      <c r="BN4" s="154" t="n">
        <v>0</v>
      </c>
      <c r="BO4" s="155">
        <f>IF(Debts!C23="",0,Debts!C23)</f>
        <v/>
      </c>
      <c r="BP4" s="155">
        <f>IF(Debts!C24="",0,Debts!C24)</f>
        <v/>
      </c>
      <c r="BQ4" s="154" t="n">
        <v>0</v>
      </c>
      <c r="BR4" s="154" t="n">
        <v>0</v>
      </c>
      <c r="BS4" s="155">
        <f>IF(Debts!C24="",0,Debts!C24)</f>
        <v/>
      </c>
      <c r="BT4" s="155">
        <f>IF(Debts!C25="",0,Debts!C25)</f>
        <v/>
      </c>
      <c r="BU4" s="154" t="n">
        <v>0</v>
      </c>
      <c r="BV4" s="154" t="n">
        <v>0</v>
      </c>
      <c r="BW4" s="155">
        <f>IF(Debts!C25="",0,Debts!C25)</f>
        <v/>
      </c>
      <c r="BX4" s="155">
        <f>IF(Debts!C26="",0,Debts!C26)</f>
        <v/>
      </c>
      <c r="BY4" s="154" t="n">
        <v>0</v>
      </c>
      <c r="BZ4" s="154" t="n">
        <v>0</v>
      </c>
      <c r="CA4" s="155">
        <f>IF(Debts!C26="",0,Debts!C26)</f>
        <v/>
      </c>
      <c r="CB4" s="155">
        <f>IF(Debts!C27="",0,Debts!C27)</f>
        <v/>
      </c>
      <c r="CC4" s="154" t="n">
        <v>0</v>
      </c>
      <c r="CD4" s="154" t="n">
        <v>0</v>
      </c>
      <c r="CE4" s="155">
        <f>IF(Debts!C27="",0,Debts!C27)</f>
        <v/>
      </c>
      <c r="CF4" s="155">
        <f>G4+K4+O4+S4+W4+AA4+AE4+AI4+AM4+AQ4+AU4+AY4+BC4+BG4+BK4+BO4+BS4+BW4+CA4+CE4</f>
        <v/>
      </c>
      <c r="CG4" s="154" t="n">
        <v>0</v>
      </c>
      <c r="CH4" s="154" t="n">
        <v>0</v>
      </c>
      <c r="CI4" s="148" t="n"/>
      <c r="CJ4" s="154">
        <f>IFERROR(MATCH(TRUE(),INDEX(CF5:CF124&lt;=0.01,0),0),120)</f>
        <v/>
      </c>
    </row>
    <row r="5" ht="15" customHeight="1" s="83">
      <c r="A5" s="148" t="n"/>
      <c r="B5" s="156" t="n">
        <v>1</v>
      </c>
      <c r="C5" s="155">
        <f>F5+J5+N5+R5+V5+Z5+AD5+AH5+AL5+AP5+AT5+AX5+BB5+BF5+BJ5+BN5+BR5+BV5+BZ5+CD5</f>
        <v/>
      </c>
      <c r="D5" s="155">
        <f>G4</f>
        <v/>
      </c>
      <c r="E5" s="157">
        <f>IF(D5&gt;0.005,D5*Debts!D8/12,0)</f>
        <v/>
      </c>
      <c r="F5" s="157" t="n">
        <v>0</v>
      </c>
      <c r="G5" s="155">
        <f>MAX(0,D5+E5-F5)</f>
        <v/>
      </c>
      <c r="H5" s="155">
        <f>K4</f>
        <v/>
      </c>
      <c r="I5" s="157">
        <f>IF(H5&gt;0.005,H5*Debts!D9/12,0)</f>
        <v/>
      </c>
      <c r="J5" s="157" t="n">
        <v>0</v>
      </c>
      <c r="K5" s="155">
        <f>MAX(0,H5+I5-J5)</f>
        <v/>
      </c>
      <c r="L5" s="155">
        <f>O4</f>
        <v/>
      </c>
      <c r="M5" s="157">
        <f>IF(L5&gt;0.005,L5*Debts!D10/12,0)</f>
        <v/>
      </c>
      <c r="N5" s="157" t="n">
        <v>0</v>
      </c>
      <c r="O5" s="155">
        <f>MAX(0,L5+M5-N5)</f>
        <v/>
      </c>
      <c r="P5" s="155">
        <f>S4</f>
        <v/>
      </c>
      <c r="Q5" s="157">
        <f>IF(P5&gt;0.005,P5*Debts!D11/12,0)</f>
        <v/>
      </c>
      <c r="R5" s="157" t="n">
        <v>0</v>
      </c>
      <c r="S5" s="155">
        <f>MAX(0,P5+Q5-R5)</f>
        <v/>
      </c>
      <c r="T5" s="155">
        <f>W4</f>
        <v/>
      </c>
      <c r="U5" s="157">
        <f>IF(T5&gt;0.005,T5*Debts!D12/12,0)</f>
        <v/>
      </c>
      <c r="V5" s="157" t="n">
        <v>0</v>
      </c>
      <c r="W5" s="155">
        <f>MAX(0,T5+U5-V5)</f>
        <v/>
      </c>
      <c r="X5" s="155">
        <f>AA4</f>
        <v/>
      </c>
      <c r="Y5" s="157">
        <f>IF(X5&gt;0.005,X5*Debts!D13/12,0)</f>
        <v/>
      </c>
      <c r="Z5" s="157" t="n">
        <v>0</v>
      </c>
      <c r="AA5" s="155">
        <f>MAX(0,X5+Y5-Z5)</f>
        <v/>
      </c>
      <c r="AB5" s="155">
        <f>AE4</f>
        <v/>
      </c>
      <c r="AC5" s="157">
        <f>IF(AB5&gt;0.005,AB5*Debts!D14/12,0)</f>
        <v/>
      </c>
      <c r="AD5" s="157" t="n">
        <v>0</v>
      </c>
      <c r="AE5" s="155">
        <f>MAX(0,AB5+AC5-AD5)</f>
        <v/>
      </c>
      <c r="AF5" s="155">
        <f>AI4</f>
        <v/>
      </c>
      <c r="AG5" s="157">
        <f>IF(AF5&gt;0.005,AF5*Debts!D15/12,0)</f>
        <v/>
      </c>
      <c r="AH5" s="157" t="n">
        <v>0</v>
      </c>
      <c r="AI5" s="155">
        <f>MAX(0,AF5+AG5-AH5)</f>
        <v/>
      </c>
      <c r="AJ5" s="155">
        <f>AM4</f>
        <v/>
      </c>
      <c r="AK5" s="157">
        <f>IF(AJ5&gt;0.005,AJ5*Debts!D16/12,0)</f>
        <v/>
      </c>
      <c r="AL5" s="157" t="n">
        <v>0</v>
      </c>
      <c r="AM5" s="155">
        <f>MAX(0,AJ5+AK5-AL5)</f>
        <v/>
      </c>
      <c r="AN5" s="155">
        <f>AQ4</f>
        <v/>
      </c>
      <c r="AO5" s="157">
        <f>IF(AN5&gt;0.005,AN5*Debts!D17/12,0)</f>
        <v/>
      </c>
      <c r="AP5" s="157" t="n">
        <v>0</v>
      </c>
      <c r="AQ5" s="155">
        <f>MAX(0,AN5+AO5-AP5)</f>
        <v/>
      </c>
      <c r="AR5" s="155">
        <f>AU4</f>
        <v/>
      </c>
      <c r="AS5" s="157">
        <f>IF(AR5&gt;0.005,AR5*Debts!D18/12,0)</f>
        <v/>
      </c>
      <c r="AT5" s="157" t="n">
        <v>0</v>
      </c>
      <c r="AU5" s="155">
        <f>MAX(0,AR5+AS5-AT5)</f>
        <v/>
      </c>
      <c r="AV5" s="155">
        <f>AY4</f>
        <v/>
      </c>
      <c r="AW5" s="157">
        <f>IF(AV5&gt;0.005,AV5*Debts!D19/12,0)</f>
        <v/>
      </c>
      <c r="AX5" s="157" t="n">
        <v>0</v>
      </c>
      <c r="AY5" s="155">
        <f>MAX(0,AV5+AW5-AX5)</f>
        <v/>
      </c>
      <c r="AZ5" s="155">
        <f>BC4</f>
        <v/>
      </c>
      <c r="BA5" s="157">
        <f>IF(AZ5&gt;0.005,AZ5*Debts!D20/12,0)</f>
        <v/>
      </c>
      <c r="BB5" s="157" t="n">
        <v>0</v>
      </c>
      <c r="BC5" s="155">
        <f>MAX(0,AZ5+BA5-BB5)</f>
        <v/>
      </c>
      <c r="BD5" s="155">
        <f>BG4</f>
        <v/>
      </c>
      <c r="BE5" s="157">
        <f>IF(BD5&gt;0.005,BD5*Debts!D21/12,0)</f>
        <v/>
      </c>
      <c r="BF5" s="157" t="n">
        <v>0</v>
      </c>
      <c r="BG5" s="155">
        <f>MAX(0,BD5+BE5-BF5)</f>
        <v/>
      </c>
      <c r="BH5" s="155">
        <f>BK4</f>
        <v/>
      </c>
      <c r="BI5" s="157">
        <f>IF(BH5&gt;0.005,BH5*Debts!D22/12,0)</f>
        <v/>
      </c>
      <c r="BJ5" s="157" t="n">
        <v>0</v>
      </c>
      <c r="BK5" s="155">
        <f>MAX(0,BH5+BI5-BJ5)</f>
        <v/>
      </c>
      <c r="BL5" s="155">
        <f>BO4</f>
        <v/>
      </c>
      <c r="BM5" s="157">
        <f>IF(BL5&gt;0.005,BL5*Debts!D23/12,0)</f>
        <v/>
      </c>
      <c r="BN5" s="157" t="n">
        <v>0</v>
      </c>
      <c r="BO5" s="155">
        <f>MAX(0,BL5+BM5-BN5)</f>
        <v/>
      </c>
      <c r="BP5" s="155">
        <f>BS4</f>
        <v/>
      </c>
      <c r="BQ5" s="157">
        <f>IF(BP5&gt;0.005,BP5*Debts!D24/12,0)</f>
        <v/>
      </c>
      <c r="BR5" s="157" t="n">
        <v>0</v>
      </c>
      <c r="BS5" s="155">
        <f>MAX(0,BP5+BQ5-BR5)</f>
        <v/>
      </c>
      <c r="BT5" s="155">
        <f>BW4</f>
        <v/>
      </c>
      <c r="BU5" s="157">
        <f>IF(BT5&gt;0.005,BT5*Debts!D25/12,0)</f>
        <v/>
      </c>
      <c r="BV5" s="157" t="n">
        <v>0</v>
      </c>
      <c r="BW5" s="155">
        <f>MAX(0,BT5+BU5-BV5)</f>
        <v/>
      </c>
      <c r="BX5" s="155">
        <f>CA4</f>
        <v/>
      </c>
      <c r="BY5" s="157">
        <f>IF(BX5&gt;0.005,BX5*Debts!D26/12,0)</f>
        <v/>
      </c>
      <c r="BZ5" s="157" t="n">
        <v>0</v>
      </c>
      <c r="CA5" s="155">
        <f>MAX(0,BX5+BY5-BZ5)</f>
        <v/>
      </c>
      <c r="CB5" s="155">
        <f>CE4</f>
        <v/>
      </c>
      <c r="CC5" s="157">
        <f>IF(CB5&gt;0.005,CB5*Debts!D27/12,0)</f>
        <v/>
      </c>
      <c r="CD5" s="157" t="n">
        <v>0</v>
      </c>
      <c r="CE5" s="155">
        <f>MAX(0,CB5+CC5-CD5)</f>
        <v/>
      </c>
      <c r="CF5" s="155">
        <f>G5+K5+O5+S5+W5+AA5+AE5+AI5+AM5+AQ5+AU5+AY5+BC5+BG5+BK5+BO5+BS5+BW5+CA5+CE5</f>
        <v/>
      </c>
      <c r="CG5" s="157">
        <f>E5+I5+M5+Q5+U5+Y5+AC5+AG5+AK5+AO5+AS5+AW5+BA5+BE5+BI5+BM5+BQ5+BU5+BY5+CC5</f>
        <v/>
      </c>
      <c r="CH5" s="155">
        <f>CH4+CG5</f>
        <v/>
      </c>
      <c r="CI5" s="148" t="n"/>
      <c r="CJ5" s="155">
        <f>CF5</f>
        <v/>
      </c>
    </row>
    <row r="6" ht="15" customHeight="1" s="83">
      <c r="A6" s="148" t="n"/>
      <c r="B6" s="158" t="n">
        <v>2</v>
      </c>
      <c r="C6" s="152">
        <f>F6+J6+N6+R6+V6+Z6+AD6+AH6+AL6+AP6+AT6+AX6+BB6+BF6+BJ6+BN6+BR6+BV6+BZ6+CD6</f>
        <v/>
      </c>
      <c r="D6" s="152">
        <f>G5</f>
        <v/>
      </c>
      <c r="E6" s="159">
        <f>IF(D6&gt;0.005,D6*Debts!D8/12,0)</f>
        <v/>
      </c>
      <c r="F6" s="159" t="n">
        <v>0</v>
      </c>
      <c r="G6" s="152">
        <f>MAX(0,D6+E6-F6)</f>
        <v/>
      </c>
      <c r="H6" s="152">
        <f>K5</f>
        <v/>
      </c>
      <c r="I6" s="159">
        <f>IF(H6&gt;0.005,H6*Debts!D9/12,0)</f>
        <v/>
      </c>
      <c r="J6" s="159" t="n">
        <v>0</v>
      </c>
      <c r="K6" s="152">
        <f>MAX(0,H6+I6-J6)</f>
        <v/>
      </c>
      <c r="L6" s="152">
        <f>O5</f>
        <v/>
      </c>
      <c r="M6" s="159">
        <f>IF(L6&gt;0.005,L6*Debts!D10/12,0)</f>
        <v/>
      </c>
      <c r="N6" s="159" t="n">
        <v>0</v>
      </c>
      <c r="O6" s="152">
        <f>MAX(0,L6+M6-N6)</f>
        <v/>
      </c>
      <c r="P6" s="152">
        <f>S5</f>
        <v/>
      </c>
      <c r="Q6" s="159">
        <f>IF(P6&gt;0.005,P6*Debts!D11/12,0)</f>
        <v/>
      </c>
      <c r="R6" s="159" t="n">
        <v>0</v>
      </c>
      <c r="S6" s="152">
        <f>MAX(0,P6+Q6-R6)</f>
        <v/>
      </c>
      <c r="T6" s="152">
        <f>W5</f>
        <v/>
      </c>
      <c r="U6" s="159">
        <f>IF(T6&gt;0.005,T6*Debts!D12/12,0)</f>
        <v/>
      </c>
      <c r="V6" s="159" t="n">
        <v>0</v>
      </c>
      <c r="W6" s="152">
        <f>MAX(0,T6+U6-V6)</f>
        <v/>
      </c>
      <c r="X6" s="152">
        <f>AA5</f>
        <v/>
      </c>
      <c r="Y6" s="159">
        <f>IF(X6&gt;0.005,X6*Debts!D13/12,0)</f>
        <v/>
      </c>
      <c r="Z6" s="159" t="n">
        <v>0</v>
      </c>
      <c r="AA6" s="152">
        <f>MAX(0,X6+Y6-Z6)</f>
        <v/>
      </c>
      <c r="AB6" s="152">
        <f>AE5</f>
        <v/>
      </c>
      <c r="AC6" s="159">
        <f>IF(AB6&gt;0.005,AB6*Debts!D14/12,0)</f>
        <v/>
      </c>
      <c r="AD6" s="159" t="n">
        <v>0</v>
      </c>
      <c r="AE6" s="152">
        <f>MAX(0,AB6+AC6-AD6)</f>
        <v/>
      </c>
      <c r="AF6" s="152">
        <f>AI5</f>
        <v/>
      </c>
      <c r="AG6" s="159">
        <f>IF(AF6&gt;0.005,AF6*Debts!D15/12,0)</f>
        <v/>
      </c>
      <c r="AH6" s="159" t="n">
        <v>0</v>
      </c>
      <c r="AI6" s="152">
        <f>MAX(0,AF6+AG6-AH6)</f>
        <v/>
      </c>
      <c r="AJ6" s="152">
        <f>AM5</f>
        <v/>
      </c>
      <c r="AK6" s="159">
        <f>IF(AJ6&gt;0.005,AJ6*Debts!D16/12,0)</f>
        <v/>
      </c>
      <c r="AL6" s="159" t="n">
        <v>0</v>
      </c>
      <c r="AM6" s="152">
        <f>MAX(0,AJ6+AK6-AL6)</f>
        <v/>
      </c>
      <c r="AN6" s="152">
        <f>AQ5</f>
        <v/>
      </c>
      <c r="AO6" s="159">
        <f>IF(AN6&gt;0.005,AN6*Debts!D17/12,0)</f>
        <v/>
      </c>
      <c r="AP6" s="159" t="n">
        <v>0</v>
      </c>
      <c r="AQ6" s="152">
        <f>MAX(0,AN6+AO6-AP6)</f>
        <v/>
      </c>
      <c r="AR6" s="152">
        <f>AU5</f>
        <v/>
      </c>
      <c r="AS6" s="159">
        <f>IF(AR6&gt;0.005,AR6*Debts!D18/12,0)</f>
        <v/>
      </c>
      <c r="AT6" s="159" t="n">
        <v>0</v>
      </c>
      <c r="AU6" s="152">
        <f>MAX(0,AR6+AS6-AT6)</f>
        <v/>
      </c>
      <c r="AV6" s="152">
        <f>AY5</f>
        <v/>
      </c>
      <c r="AW6" s="159">
        <f>IF(AV6&gt;0.005,AV6*Debts!D19/12,0)</f>
        <v/>
      </c>
      <c r="AX6" s="159" t="n">
        <v>0</v>
      </c>
      <c r="AY6" s="152">
        <f>MAX(0,AV6+AW6-AX6)</f>
        <v/>
      </c>
      <c r="AZ6" s="152">
        <f>BC5</f>
        <v/>
      </c>
      <c r="BA6" s="159">
        <f>IF(AZ6&gt;0.005,AZ6*Debts!D20/12,0)</f>
        <v/>
      </c>
      <c r="BB6" s="159" t="n">
        <v>0</v>
      </c>
      <c r="BC6" s="152">
        <f>MAX(0,AZ6+BA6-BB6)</f>
        <v/>
      </c>
      <c r="BD6" s="152">
        <f>BG5</f>
        <v/>
      </c>
      <c r="BE6" s="159">
        <f>IF(BD6&gt;0.005,BD6*Debts!D21/12,0)</f>
        <v/>
      </c>
      <c r="BF6" s="159" t="n">
        <v>0</v>
      </c>
      <c r="BG6" s="152">
        <f>MAX(0,BD6+BE6-BF6)</f>
        <v/>
      </c>
      <c r="BH6" s="152">
        <f>BK5</f>
        <v/>
      </c>
      <c r="BI6" s="159">
        <f>IF(BH6&gt;0.005,BH6*Debts!D22/12,0)</f>
        <v/>
      </c>
      <c r="BJ6" s="159" t="n">
        <v>0</v>
      </c>
      <c r="BK6" s="152">
        <f>MAX(0,BH6+BI6-BJ6)</f>
        <v/>
      </c>
      <c r="BL6" s="152">
        <f>BO5</f>
        <v/>
      </c>
      <c r="BM6" s="159">
        <f>IF(BL6&gt;0.005,BL6*Debts!D23/12,0)</f>
        <v/>
      </c>
      <c r="BN6" s="159" t="n">
        <v>0</v>
      </c>
      <c r="BO6" s="152">
        <f>MAX(0,BL6+BM6-BN6)</f>
        <v/>
      </c>
      <c r="BP6" s="152">
        <f>BS5</f>
        <v/>
      </c>
      <c r="BQ6" s="159">
        <f>IF(BP6&gt;0.005,BP6*Debts!D24/12,0)</f>
        <v/>
      </c>
      <c r="BR6" s="159" t="n">
        <v>0</v>
      </c>
      <c r="BS6" s="152">
        <f>MAX(0,BP6+BQ6-BR6)</f>
        <v/>
      </c>
      <c r="BT6" s="152">
        <f>BW5</f>
        <v/>
      </c>
      <c r="BU6" s="159">
        <f>IF(BT6&gt;0.005,BT6*Debts!D25/12,0)</f>
        <v/>
      </c>
      <c r="BV6" s="159" t="n">
        <v>0</v>
      </c>
      <c r="BW6" s="152">
        <f>MAX(0,BT6+BU6-BV6)</f>
        <v/>
      </c>
      <c r="BX6" s="152">
        <f>CA5</f>
        <v/>
      </c>
      <c r="BY6" s="159">
        <f>IF(BX6&gt;0.005,BX6*Debts!D26/12,0)</f>
        <v/>
      </c>
      <c r="BZ6" s="159" t="n">
        <v>0</v>
      </c>
      <c r="CA6" s="152">
        <f>MAX(0,BX6+BY6-BZ6)</f>
        <v/>
      </c>
      <c r="CB6" s="152">
        <f>CE5</f>
        <v/>
      </c>
      <c r="CC6" s="159">
        <f>IF(CB6&gt;0.005,CB6*Debts!D27/12,0)</f>
        <v/>
      </c>
      <c r="CD6" s="159" t="n">
        <v>0</v>
      </c>
      <c r="CE6" s="152">
        <f>MAX(0,CB6+CC6-CD6)</f>
        <v/>
      </c>
      <c r="CF6" s="152">
        <f>G6+K6+O6+S6+W6+AA6+AE6+AI6+AM6+AQ6+AU6+AY6+BC6+BG6+BK6+BO6+BS6+BW6+CA6+CE6</f>
        <v/>
      </c>
      <c r="CG6" s="159">
        <f>E6+I6+M6+Q6+U6+Y6+AC6+AG6+AK6+AO6+AS6+AW6+BA6+BE6+BI6+BM6+BQ6+BU6+BY6+CC6</f>
        <v/>
      </c>
      <c r="CH6" s="152">
        <f>CH5+CG6</f>
        <v/>
      </c>
      <c r="CI6" s="148" t="n"/>
      <c r="CJ6" s="148" t="n"/>
    </row>
    <row r="7" ht="15" customHeight="1" s="83">
      <c r="A7" s="148" t="n"/>
      <c r="B7" s="158" t="n">
        <v>3</v>
      </c>
      <c r="C7" s="152">
        <f>F7+J7+N7+R7+V7+Z7+AD7+AH7+AL7+AP7+AT7+AX7+BB7+BF7+BJ7+BN7+BR7+BV7+BZ7+CD7</f>
        <v/>
      </c>
      <c r="D7" s="152">
        <f>G6</f>
        <v/>
      </c>
      <c r="E7" s="159">
        <f>IF(D7&gt;0.005,D7*Debts!D8/12,0)</f>
        <v/>
      </c>
      <c r="F7" s="159" t="n">
        <v>0</v>
      </c>
      <c r="G7" s="152">
        <f>MAX(0,D7+E7-F7)</f>
        <v/>
      </c>
      <c r="H7" s="152">
        <f>K6</f>
        <v/>
      </c>
      <c r="I7" s="159">
        <f>IF(H7&gt;0.005,H7*Debts!D9/12,0)</f>
        <v/>
      </c>
      <c r="J7" s="159" t="n">
        <v>0</v>
      </c>
      <c r="K7" s="152">
        <f>MAX(0,H7+I7-J7)</f>
        <v/>
      </c>
      <c r="L7" s="152">
        <f>O6</f>
        <v/>
      </c>
      <c r="M7" s="159">
        <f>IF(L7&gt;0.005,L7*Debts!D10/12,0)</f>
        <v/>
      </c>
      <c r="N7" s="159" t="n">
        <v>0</v>
      </c>
      <c r="O7" s="152">
        <f>MAX(0,L7+M7-N7)</f>
        <v/>
      </c>
      <c r="P7" s="152">
        <f>S6</f>
        <v/>
      </c>
      <c r="Q7" s="159">
        <f>IF(P7&gt;0.005,P7*Debts!D11/12,0)</f>
        <v/>
      </c>
      <c r="R7" s="159" t="n">
        <v>0</v>
      </c>
      <c r="S7" s="152">
        <f>MAX(0,P7+Q7-R7)</f>
        <v/>
      </c>
      <c r="T7" s="152">
        <f>W6</f>
        <v/>
      </c>
      <c r="U7" s="159">
        <f>IF(T7&gt;0.005,T7*Debts!D12/12,0)</f>
        <v/>
      </c>
      <c r="V7" s="159" t="n">
        <v>0</v>
      </c>
      <c r="W7" s="152">
        <f>MAX(0,T7+U7-V7)</f>
        <v/>
      </c>
      <c r="X7" s="152">
        <f>AA6</f>
        <v/>
      </c>
      <c r="Y7" s="159">
        <f>IF(X7&gt;0.005,X7*Debts!D13/12,0)</f>
        <v/>
      </c>
      <c r="Z7" s="159" t="n">
        <v>0</v>
      </c>
      <c r="AA7" s="152">
        <f>MAX(0,X7+Y7-Z7)</f>
        <v/>
      </c>
      <c r="AB7" s="152">
        <f>AE6</f>
        <v/>
      </c>
      <c r="AC7" s="159">
        <f>IF(AB7&gt;0.005,AB7*Debts!D14/12,0)</f>
        <v/>
      </c>
      <c r="AD7" s="159" t="n">
        <v>0</v>
      </c>
      <c r="AE7" s="152">
        <f>MAX(0,AB7+AC7-AD7)</f>
        <v/>
      </c>
      <c r="AF7" s="152">
        <f>AI6</f>
        <v/>
      </c>
      <c r="AG7" s="159">
        <f>IF(AF7&gt;0.005,AF7*Debts!D15/12,0)</f>
        <v/>
      </c>
      <c r="AH7" s="159" t="n">
        <v>0</v>
      </c>
      <c r="AI7" s="152">
        <f>MAX(0,AF7+AG7-AH7)</f>
        <v/>
      </c>
      <c r="AJ7" s="152">
        <f>AM6</f>
        <v/>
      </c>
      <c r="AK7" s="159">
        <f>IF(AJ7&gt;0.005,AJ7*Debts!D16/12,0)</f>
        <v/>
      </c>
      <c r="AL7" s="159" t="n">
        <v>0</v>
      </c>
      <c r="AM7" s="152">
        <f>MAX(0,AJ7+AK7-AL7)</f>
        <v/>
      </c>
      <c r="AN7" s="152">
        <f>AQ6</f>
        <v/>
      </c>
      <c r="AO7" s="159">
        <f>IF(AN7&gt;0.005,AN7*Debts!D17/12,0)</f>
        <v/>
      </c>
      <c r="AP7" s="159" t="n">
        <v>0</v>
      </c>
      <c r="AQ7" s="152">
        <f>MAX(0,AN7+AO7-AP7)</f>
        <v/>
      </c>
      <c r="AR7" s="152">
        <f>AU6</f>
        <v/>
      </c>
      <c r="AS7" s="159">
        <f>IF(AR7&gt;0.005,AR7*Debts!D18/12,0)</f>
        <v/>
      </c>
      <c r="AT7" s="159" t="n">
        <v>0</v>
      </c>
      <c r="AU7" s="152">
        <f>MAX(0,AR7+AS7-AT7)</f>
        <v/>
      </c>
      <c r="AV7" s="152">
        <f>AY6</f>
        <v/>
      </c>
      <c r="AW7" s="159">
        <f>IF(AV7&gt;0.005,AV7*Debts!D19/12,0)</f>
        <v/>
      </c>
      <c r="AX7" s="159" t="n">
        <v>0</v>
      </c>
      <c r="AY7" s="152">
        <f>MAX(0,AV7+AW7-AX7)</f>
        <v/>
      </c>
      <c r="AZ7" s="152">
        <f>BC6</f>
        <v/>
      </c>
      <c r="BA7" s="159">
        <f>IF(AZ7&gt;0.005,AZ7*Debts!D20/12,0)</f>
        <v/>
      </c>
      <c r="BB7" s="159" t="n">
        <v>0</v>
      </c>
      <c r="BC7" s="152">
        <f>MAX(0,AZ7+BA7-BB7)</f>
        <v/>
      </c>
      <c r="BD7" s="152">
        <f>BG6</f>
        <v/>
      </c>
      <c r="BE7" s="159">
        <f>IF(BD7&gt;0.005,BD7*Debts!D21/12,0)</f>
        <v/>
      </c>
      <c r="BF7" s="159" t="n">
        <v>0</v>
      </c>
      <c r="BG7" s="152">
        <f>MAX(0,BD7+BE7-BF7)</f>
        <v/>
      </c>
      <c r="BH7" s="152">
        <f>BK6</f>
        <v/>
      </c>
      <c r="BI7" s="159">
        <f>IF(BH7&gt;0.005,BH7*Debts!D22/12,0)</f>
        <v/>
      </c>
      <c r="BJ7" s="159" t="n">
        <v>0</v>
      </c>
      <c r="BK7" s="152">
        <f>MAX(0,BH7+BI7-BJ7)</f>
        <v/>
      </c>
      <c r="BL7" s="152">
        <f>BO6</f>
        <v/>
      </c>
      <c r="BM7" s="159">
        <f>IF(BL7&gt;0.005,BL7*Debts!D23/12,0)</f>
        <v/>
      </c>
      <c r="BN7" s="159" t="n">
        <v>0</v>
      </c>
      <c r="BO7" s="152">
        <f>MAX(0,BL7+BM7-BN7)</f>
        <v/>
      </c>
      <c r="BP7" s="152">
        <f>BS6</f>
        <v/>
      </c>
      <c r="BQ7" s="159">
        <f>IF(BP7&gt;0.005,BP7*Debts!D24/12,0)</f>
        <v/>
      </c>
      <c r="BR7" s="159" t="n">
        <v>0</v>
      </c>
      <c r="BS7" s="152">
        <f>MAX(0,BP7+BQ7-BR7)</f>
        <v/>
      </c>
      <c r="BT7" s="152">
        <f>BW6</f>
        <v/>
      </c>
      <c r="BU7" s="159">
        <f>IF(BT7&gt;0.005,BT7*Debts!D25/12,0)</f>
        <v/>
      </c>
      <c r="BV7" s="159" t="n">
        <v>0</v>
      </c>
      <c r="BW7" s="152">
        <f>MAX(0,BT7+BU7-BV7)</f>
        <v/>
      </c>
      <c r="BX7" s="152">
        <f>CA6</f>
        <v/>
      </c>
      <c r="BY7" s="159">
        <f>IF(BX7&gt;0.005,BX7*Debts!D26/12,0)</f>
        <v/>
      </c>
      <c r="BZ7" s="159" t="n">
        <v>0</v>
      </c>
      <c r="CA7" s="152">
        <f>MAX(0,BX7+BY7-BZ7)</f>
        <v/>
      </c>
      <c r="CB7" s="152">
        <f>CE6</f>
        <v/>
      </c>
      <c r="CC7" s="159">
        <f>IF(CB7&gt;0.005,CB7*Debts!D27/12,0)</f>
        <v/>
      </c>
      <c r="CD7" s="159" t="n">
        <v>0</v>
      </c>
      <c r="CE7" s="152">
        <f>MAX(0,CB7+CC7-CD7)</f>
        <v/>
      </c>
      <c r="CF7" s="152">
        <f>G7+K7+O7+S7+W7+AA7+AE7+AI7+AM7+AQ7+AU7+AY7+BC7+BG7+BK7+BO7+BS7+BW7+CA7+CE7</f>
        <v/>
      </c>
      <c r="CG7" s="159">
        <f>E7+I7+M7+Q7+U7+Y7+AC7+AG7+AK7+AO7+AS7+AW7+BA7+BE7+BI7+BM7+BQ7+BU7+BY7+CC7</f>
        <v/>
      </c>
      <c r="CH7" s="152">
        <f>CH6+CG7</f>
        <v/>
      </c>
      <c r="CI7" s="148" t="n"/>
      <c r="CJ7" s="148" t="n"/>
    </row>
    <row r="8" ht="15" customHeight="1" s="83">
      <c r="A8" s="148" t="n"/>
      <c r="B8" s="158" t="n">
        <v>4</v>
      </c>
      <c r="C8" s="152">
        <f>F8+J8+N8+R8+V8+Z8+AD8+AH8+AL8+AP8+AT8+AX8+BB8+BF8+BJ8+BN8+BR8+BV8+BZ8+CD8</f>
        <v/>
      </c>
      <c r="D8" s="152">
        <f>G7</f>
        <v/>
      </c>
      <c r="E8" s="159">
        <f>IF(D8&gt;0.005,D8*Debts!D8/12,0)</f>
        <v/>
      </c>
      <c r="F8" s="159" t="n">
        <v>0</v>
      </c>
      <c r="G8" s="152">
        <f>MAX(0,D8+E8-F8)</f>
        <v/>
      </c>
      <c r="H8" s="152">
        <f>K7</f>
        <v/>
      </c>
      <c r="I8" s="159">
        <f>IF(H8&gt;0.005,H8*Debts!D9/12,0)</f>
        <v/>
      </c>
      <c r="J8" s="159" t="n">
        <v>0</v>
      </c>
      <c r="K8" s="152">
        <f>MAX(0,H8+I8-J8)</f>
        <v/>
      </c>
      <c r="L8" s="152">
        <f>O7</f>
        <v/>
      </c>
      <c r="M8" s="159">
        <f>IF(L8&gt;0.005,L8*Debts!D10/12,0)</f>
        <v/>
      </c>
      <c r="N8" s="159" t="n">
        <v>0</v>
      </c>
      <c r="O8" s="152">
        <f>MAX(0,L8+M8-N8)</f>
        <v/>
      </c>
      <c r="P8" s="152">
        <f>S7</f>
        <v/>
      </c>
      <c r="Q8" s="159">
        <f>IF(P8&gt;0.005,P8*Debts!D11/12,0)</f>
        <v/>
      </c>
      <c r="R8" s="159" t="n">
        <v>0</v>
      </c>
      <c r="S8" s="152">
        <f>MAX(0,P8+Q8-R8)</f>
        <v/>
      </c>
      <c r="T8" s="152">
        <f>W7</f>
        <v/>
      </c>
      <c r="U8" s="159">
        <f>IF(T8&gt;0.005,T8*Debts!D12/12,0)</f>
        <v/>
      </c>
      <c r="V8" s="159" t="n">
        <v>0</v>
      </c>
      <c r="W8" s="152">
        <f>MAX(0,T8+U8-V8)</f>
        <v/>
      </c>
      <c r="X8" s="152">
        <f>AA7</f>
        <v/>
      </c>
      <c r="Y8" s="159">
        <f>IF(X8&gt;0.005,X8*Debts!D13/12,0)</f>
        <v/>
      </c>
      <c r="Z8" s="159" t="n">
        <v>0</v>
      </c>
      <c r="AA8" s="152">
        <f>MAX(0,X8+Y8-Z8)</f>
        <v/>
      </c>
      <c r="AB8" s="152">
        <f>AE7</f>
        <v/>
      </c>
      <c r="AC8" s="159">
        <f>IF(AB8&gt;0.005,AB8*Debts!D14/12,0)</f>
        <v/>
      </c>
      <c r="AD8" s="159" t="n">
        <v>0</v>
      </c>
      <c r="AE8" s="152">
        <f>MAX(0,AB8+AC8-AD8)</f>
        <v/>
      </c>
      <c r="AF8" s="152">
        <f>AI7</f>
        <v/>
      </c>
      <c r="AG8" s="159">
        <f>IF(AF8&gt;0.005,AF8*Debts!D15/12,0)</f>
        <v/>
      </c>
      <c r="AH8" s="159" t="n">
        <v>0</v>
      </c>
      <c r="AI8" s="152">
        <f>MAX(0,AF8+AG8-AH8)</f>
        <v/>
      </c>
      <c r="AJ8" s="152">
        <f>AM7</f>
        <v/>
      </c>
      <c r="AK8" s="159">
        <f>IF(AJ8&gt;0.005,AJ8*Debts!D16/12,0)</f>
        <v/>
      </c>
      <c r="AL8" s="159" t="n">
        <v>0</v>
      </c>
      <c r="AM8" s="152">
        <f>MAX(0,AJ8+AK8-AL8)</f>
        <v/>
      </c>
      <c r="AN8" s="152">
        <f>AQ7</f>
        <v/>
      </c>
      <c r="AO8" s="159">
        <f>IF(AN8&gt;0.005,AN8*Debts!D17/12,0)</f>
        <v/>
      </c>
      <c r="AP8" s="159" t="n">
        <v>0</v>
      </c>
      <c r="AQ8" s="152">
        <f>MAX(0,AN8+AO8-AP8)</f>
        <v/>
      </c>
      <c r="AR8" s="152">
        <f>AU7</f>
        <v/>
      </c>
      <c r="AS8" s="159">
        <f>IF(AR8&gt;0.005,AR8*Debts!D18/12,0)</f>
        <v/>
      </c>
      <c r="AT8" s="159" t="n">
        <v>0</v>
      </c>
      <c r="AU8" s="152">
        <f>MAX(0,AR8+AS8-AT8)</f>
        <v/>
      </c>
      <c r="AV8" s="152">
        <f>AY7</f>
        <v/>
      </c>
      <c r="AW8" s="159">
        <f>IF(AV8&gt;0.005,AV8*Debts!D19/12,0)</f>
        <v/>
      </c>
      <c r="AX8" s="159" t="n">
        <v>0</v>
      </c>
      <c r="AY8" s="152">
        <f>MAX(0,AV8+AW8-AX8)</f>
        <v/>
      </c>
      <c r="AZ8" s="152">
        <f>BC7</f>
        <v/>
      </c>
      <c r="BA8" s="159">
        <f>IF(AZ8&gt;0.005,AZ8*Debts!D20/12,0)</f>
        <v/>
      </c>
      <c r="BB8" s="159" t="n">
        <v>0</v>
      </c>
      <c r="BC8" s="152">
        <f>MAX(0,AZ8+BA8-BB8)</f>
        <v/>
      </c>
      <c r="BD8" s="152">
        <f>BG7</f>
        <v/>
      </c>
      <c r="BE8" s="159">
        <f>IF(BD8&gt;0.005,BD8*Debts!D21/12,0)</f>
        <v/>
      </c>
      <c r="BF8" s="159" t="n">
        <v>0</v>
      </c>
      <c r="BG8" s="152">
        <f>MAX(0,BD8+BE8-BF8)</f>
        <v/>
      </c>
      <c r="BH8" s="152">
        <f>BK7</f>
        <v/>
      </c>
      <c r="BI8" s="159">
        <f>IF(BH8&gt;0.005,BH8*Debts!D22/12,0)</f>
        <v/>
      </c>
      <c r="BJ8" s="159" t="n">
        <v>0</v>
      </c>
      <c r="BK8" s="152">
        <f>MAX(0,BH8+BI8-BJ8)</f>
        <v/>
      </c>
      <c r="BL8" s="152">
        <f>BO7</f>
        <v/>
      </c>
      <c r="BM8" s="159">
        <f>IF(BL8&gt;0.005,BL8*Debts!D23/12,0)</f>
        <v/>
      </c>
      <c r="BN8" s="159" t="n">
        <v>0</v>
      </c>
      <c r="BO8" s="152">
        <f>MAX(0,BL8+BM8-BN8)</f>
        <v/>
      </c>
      <c r="BP8" s="152">
        <f>BS7</f>
        <v/>
      </c>
      <c r="BQ8" s="159">
        <f>IF(BP8&gt;0.005,BP8*Debts!D24/12,0)</f>
        <v/>
      </c>
      <c r="BR8" s="159" t="n">
        <v>0</v>
      </c>
      <c r="BS8" s="152">
        <f>MAX(0,BP8+BQ8-BR8)</f>
        <v/>
      </c>
      <c r="BT8" s="152">
        <f>BW7</f>
        <v/>
      </c>
      <c r="BU8" s="159">
        <f>IF(BT8&gt;0.005,BT8*Debts!D25/12,0)</f>
        <v/>
      </c>
      <c r="BV8" s="159" t="n">
        <v>0</v>
      </c>
      <c r="BW8" s="152">
        <f>MAX(0,BT8+BU8-BV8)</f>
        <v/>
      </c>
      <c r="BX8" s="152">
        <f>CA7</f>
        <v/>
      </c>
      <c r="BY8" s="159">
        <f>IF(BX8&gt;0.005,BX8*Debts!D26/12,0)</f>
        <v/>
      </c>
      <c r="BZ8" s="159" t="n">
        <v>0</v>
      </c>
      <c r="CA8" s="152">
        <f>MAX(0,BX8+BY8-BZ8)</f>
        <v/>
      </c>
      <c r="CB8" s="152">
        <f>CE7</f>
        <v/>
      </c>
      <c r="CC8" s="159">
        <f>IF(CB8&gt;0.005,CB8*Debts!D27/12,0)</f>
        <v/>
      </c>
      <c r="CD8" s="159" t="n">
        <v>0</v>
      </c>
      <c r="CE8" s="152">
        <f>MAX(0,CB8+CC8-CD8)</f>
        <v/>
      </c>
      <c r="CF8" s="152">
        <f>G8+K8+O8+S8+W8+AA8+AE8+AI8+AM8+AQ8+AU8+AY8+BC8+BG8+BK8+BO8+BS8+BW8+CA8+CE8</f>
        <v/>
      </c>
      <c r="CG8" s="159">
        <f>E8+I8+M8+Q8+U8+Y8+AC8+AG8+AK8+AO8+AS8+AW8+BA8+BE8+BI8+BM8+BQ8+BU8+BY8+CC8</f>
        <v/>
      </c>
      <c r="CH8" s="152">
        <f>CH7+CG8</f>
        <v/>
      </c>
      <c r="CI8" s="148" t="n"/>
      <c r="CJ8" s="148" t="n"/>
    </row>
    <row r="9" ht="15" customHeight="1" s="83">
      <c r="A9" s="148" t="n"/>
      <c r="B9" s="158" t="n">
        <v>5</v>
      </c>
      <c r="C9" s="152">
        <f>F9+J9+N9+R9+V9+Z9+AD9+AH9+AL9+AP9+AT9+AX9+BB9+BF9+BJ9+BN9+BR9+BV9+BZ9+CD9</f>
        <v/>
      </c>
      <c r="D9" s="152">
        <f>G8</f>
        <v/>
      </c>
      <c r="E9" s="159">
        <f>IF(D9&gt;0.005,D9*Debts!D8/12,0)</f>
        <v/>
      </c>
      <c r="F9" s="159" t="n">
        <v>0</v>
      </c>
      <c r="G9" s="152">
        <f>MAX(0,D9+E9-F9)</f>
        <v/>
      </c>
      <c r="H9" s="152">
        <f>K8</f>
        <v/>
      </c>
      <c r="I9" s="159">
        <f>IF(H9&gt;0.005,H9*Debts!D9/12,0)</f>
        <v/>
      </c>
      <c r="J9" s="159" t="n">
        <v>0</v>
      </c>
      <c r="K9" s="152">
        <f>MAX(0,H9+I9-J9)</f>
        <v/>
      </c>
      <c r="L9" s="152">
        <f>O8</f>
        <v/>
      </c>
      <c r="M9" s="159">
        <f>IF(L9&gt;0.005,L9*Debts!D10/12,0)</f>
        <v/>
      </c>
      <c r="N9" s="159" t="n">
        <v>0</v>
      </c>
      <c r="O9" s="152">
        <f>MAX(0,L9+M9-N9)</f>
        <v/>
      </c>
      <c r="P9" s="152">
        <f>S8</f>
        <v/>
      </c>
      <c r="Q9" s="159">
        <f>IF(P9&gt;0.005,P9*Debts!D11/12,0)</f>
        <v/>
      </c>
      <c r="R9" s="159" t="n">
        <v>0</v>
      </c>
      <c r="S9" s="152">
        <f>MAX(0,P9+Q9-R9)</f>
        <v/>
      </c>
      <c r="T9" s="152">
        <f>W8</f>
        <v/>
      </c>
      <c r="U9" s="159">
        <f>IF(T9&gt;0.005,T9*Debts!D12/12,0)</f>
        <v/>
      </c>
      <c r="V9" s="159" t="n">
        <v>0</v>
      </c>
      <c r="W9" s="152">
        <f>MAX(0,T9+U9-V9)</f>
        <v/>
      </c>
      <c r="X9" s="152">
        <f>AA8</f>
        <v/>
      </c>
      <c r="Y9" s="159">
        <f>IF(X9&gt;0.005,X9*Debts!D13/12,0)</f>
        <v/>
      </c>
      <c r="Z9" s="159" t="n">
        <v>0</v>
      </c>
      <c r="AA9" s="152">
        <f>MAX(0,X9+Y9-Z9)</f>
        <v/>
      </c>
      <c r="AB9" s="152">
        <f>AE8</f>
        <v/>
      </c>
      <c r="AC9" s="159">
        <f>IF(AB9&gt;0.005,AB9*Debts!D14/12,0)</f>
        <v/>
      </c>
      <c r="AD9" s="159" t="n">
        <v>0</v>
      </c>
      <c r="AE9" s="152">
        <f>MAX(0,AB9+AC9-AD9)</f>
        <v/>
      </c>
      <c r="AF9" s="152">
        <f>AI8</f>
        <v/>
      </c>
      <c r="AG9" s="159">
        <f>IF(AF9&gt;0.005,AF9*Debts!D15/12,0)</f>
        <v/>
      </c>
      <c r="AH9" s="159" t="n">
        <v>0</v>
      </c>
      <c r="AI9" s="152">
        <f>MAX(0,AF9+AG9-AH9)</f>
        <v/>
      </c>
      <c r="AJ9" s="152">
        <f>AM8</f>
        <v/>
      </c>
      <c r="AK9" s="159">
        <f>IF(AJ9&gt;0.005,AJ9*Debts!D16/12,0)</f>
        <v/>
      </c>
      <c r="AL9" s="159" t="n">
        <v>0</v>
      </c>
      <c r="AM9" s="152">
        <f>MAX(0,AJ9+AK9-AL9)</f>
        <v/>
      </c>
      <c r="AN9" s="152">
        <f>AQ8</f>
        <v/>
      </c>
      <c r="AO9" s="159">
        <f>IF(AN9&gt;0.005,AN9*Debts!D17/12,0)</f>
        <v/>
      </c>
      <c r="AP9" s="159" t="n">
        <v>0</v>
      </c>
      <c r="AQ9" s="152">
        <f>MAX(0,AN9+AO9-AP9)</f>
        <v/>
      </c>
      <c r="AR9" s="152">
        <f>AU8</f>
        <v/>
      </c>
      <c r="AS9" s="159">
        <f>IF(AR9&gt;0.005,AR9*Debts!D18/12,0)</f>
        <v/>
      </c>
      <c r="AT9" s="159" t="n">
        <v>0</v>
      </c>
      <c r="AU9" s="152">
        <f>MAX(0,AR9+AS9-AT9)</f>
        <v/>
      </c>
      <c r="AV9" s="152">
        <f>AY8</f>
        <v/>
      </c>
      <c r="AW9" s="159">
        <f>IF(AV9&gt;0.005,AV9*Debts!D19/12,0)</f>
        <v/>
      </c>
      <c r="AX9" s="159" t="n">
        <v>0</v>
      </c>
      <c r="AY9" s="152">
        <f>MAX(0,AV9+AW9-AX9)</f>
        <v/>
      </c>
      <c r="AZ9" s="152">
        <f>BC8</f>
        <v/>
      </c>
      <c r="BA9" s="159">
        <f>IF(AZ9&gt;0.005,AZ9*Debts!D20/12,0)</f>
        <v/>
      </c>
      <c r="BB9" s="159" t="n">
        <v>0</v>
      </c>
      <c r="BC9" s="152">
        <f>MAX(0,AZ9+BA9-BB9)</f>
        <v/>
      </c>
      <c r="BD9" s="152">
        <f>BG8</f>
        <v/>
      </c>
      <c r="BE9" s="159">
        <f>IF(BD9&gt;0.005,BD9*Debts!D21/12,0)</f>
        <v/>
      </c>
      <c r="BF9" s="159" t="n">
        <v>0</v>
      </c>
      <c r="BG9" s="152">
        <f>MAX(0,BD9+BE9-BF9)</f>
        <v/>
      </c>
      <c r="BH9" s="152">
        <f>BK8</f>
        <v/>
      </c>
      <c r="BI9" s="159">
        <f>IF(BH9&gt;0.005,BH9*Debts!D22/12,0)</f>
        <v/>
      </c>
      <c r="BJ9" s="159" t="n">
        <v>0</v>
      </c>
      <c r="BK9" s="152">
        <f>MAX(0,BH9+BI9-BJ9)</f>
        <v/>
      </c>
      <c r="BL9" s="152">
        <f>BO8</f>
        <v/>
      </c>
      <c r="BM9" s="159">
        <f>IF(BL9&gt;0.005,BL9*Debts!D23/12,0)</f>
        <v/>
      </c>
      <c r="BN9" s="159" t="n">
        <v>0</v>
      </c>
      <c r="BO9" s="152">
        <f>MAX(0,BL9+BM9-BN9)</f>
        <v/>
      </c>
      <c r="BP9" s="152">
        <f>BS8</f>
        <v/>
      </c>
      <c r="BQ9" s="159">
        <f>IF(BP9&gt;0.005,BP9*Debts!D24/12,0)</f>
        <v/>
      </c>
      <c r="BR9" s="159" t="n">
        <v>0</v>
      </c>
      <c r="BS9" s="152">
        <f>MAX(0,BP9+BQ9-BR9)</f>
        <v/>
      </c>
      <c r="BT9" s="152">
        <f>BW8</f>
        <v/>
      </c>
      <c r="BU9" s="159">
        <f>IF(BT9&gt;0.005,BT9*Debts!D25/12,0)</f>
        <v/>
      </c>
      <c r="BV9" s="159" t="n">
        <v>0</v>
      </c>
      <c r="BW9" s="152">
        <f>MAX(0,BT9+BU9-BV9)</f>
        <v/>
      </c>
      <c r="BX9" s="152">
        <f>CA8</f>
        <v/>
      </c>
      <c r="BY9" s="159">
        <f>IF(BX9&gt;0.005,BX9*Debts!D26/12,0)</f>
        <v/>
      </c>
      <c r="BZ9" s="159" t="n">
        <v>0</v>
      </c>
      <c r="CA9" s="152">
        <f>MAX(0,BX9+BY9-BZ9)</f>
        <v/>
      </c>
      <c r="CB9" s="152">
        <f>CE8</f>
        <v/>
      </c>
      <c r="CC9" s="159">
        <f>IF(CB9&gt;0.005,CB9*Debts!D27/12,0)</f>
        <v/>
      </c>
      <c r="CD9" s="159" t="n">
        <v>0</v>
      </c>
      <c r="CE9" s="152">
        <f>MAX(0,CB9+CC9-CD9)</f>
        <v/>
      </c>
      <c r="CF9" s="152">
        <f>G9+K9+O9+S9+W9+AA9+AE9+AI9+AM9+AQ9+AU9+AY9+BC9+BG9+BK9+BO9+BS9+BW9+CA9+CE9</f>
        <v/>
      </c>
      <c r="CG9" s="159">
        <f>E9+I9+M9+Q9+U9+Y9+AC9+AG9+AK9+AO9+AS9+AW9+BA9+BE9+BI9+BM9+BQ9+BU9+BY9+CC9</f>
        <v/>
      </c>
      <c r="CH9" s="152">
        <f>CH8+CG9</f>
        <v/>
      </c>
      <c r="CI9" s="148" t="n"/>
      <c r="CJ9" s="148" t="n"/>
    </row>
    <row r="10" ht="15" customHeight="1" s="83">
      <c r="A10" s="148" t="n"/>
      <c r="B10" s="158" t="n">
        <v>6</v>
      </c>
      <c r="C10" s="152">
        <f>F10+J10+N10+R10+V10+Z10+AD10+AH10+AL10+AP10+AT10+AX10+BB10+BF10+BJ10+BN10+BR10+BV10+BZ10+CD10</f>
        <v/>
      </c>
      <c r="D10" s="152">
        <f>G9</f>
        <v/>
      </c>
      <c r="E10" s="159">
        <f>IF(D10&gt;0.005,D10*Debts!D8/12,0)</f>
        <v/>
      </c>
      <c r="F10" s="159" t="n">
        <v>0</v>
      </c>
      <c r="G10" s="152">
        <f>MAX(0,D10+E10-F10)</f>
        <v/>
      </c>
      <c r="H10" s="152">
        <f>K9</f>
        <v/>
      </c>
      <c r="I10" s="159">
        <f>IF(H10&gt;0.005,H10*Debts!D9/12,0)</f>
        <v/>
      </c>
      <c r="J10" s="159" t="n">
        <v>0</v>
      </c>
      <c r="K10" s="152">
        <f>MAX(0,H10+I10-J10)</f>
        <v/>
      </c>
      <c r="L10" s="152">
        <f>O9</f>
        <v/>
      </c>
      <c r="M10" s="159">
        <f>IF(L10&gt;0.005,L10*Debts!D10/12,0)</f>
        <v/>
      </c>
      <c r="N10" s="159" t="n">
        <v>0</v>
      </c>
      <c r="O10" s="152">
        <f>MAX(0,L10+M10-N10)</f>
        <v/>
      </c>
      <c r="P10" s="152">
        <f>S9</f>
        <v/>
      </c>
      <c r="Q10" s="159">
        <f>IF(P10&gt;0.005,P10*Debts!D11/12,0)</f>
        <v/>
      </c>
      <c r="R10" s="159" t="n">
        <v>0</v>
      </c>
      <c r="S10" s="152">
        <f>MAX(0,P10+Q10-R10)</f>
        <v/>
      </c>
      <c r="T10" s="152">
        <f>W9</f>
        <v/>
      </c>
      <c r="U10" s="159">
        <f>IF(T10&gt;0.005,T10*Debts!D12/12,0)</f>
        <v/>
      </c>
      <c r="V10" s="159" t="n">
        <v>0</v>
      </c>
      <c r="W10" s="152">
        <f>MAX(0,T10+U10-V10)</f>
        <v/>
      </c>
      <c r="X10" s="152">
        <f>AA9</f>
        <v/>
      </c>
      <c r="Y10" s="159">
        <f>IF(X10&gt;0.005,X10*Debts!D13/12,0)</f>
        <v/>
      </c>
      <c r="Z10" s="159" t="n">
        <v>0</v>
      </c>
      <c r="AA10" s="152">
        <f>MAX(0,X10+Y10-Z10)</f>
        <v/>
      </c>
      <c r="AB10" s="152">
        <f>AE9</f>
        <v/>
      </c>
      <c r="AC10" s="159">
        <f>IF(AB10&gt;0.005,AB10*Debts!D14/12,0)</f>
        <v/>
      </c>
      <c r="AD10" s="159" t="n">
        <v>0</v>
      </c>
      <c r="AE10" s="152">
        <f>MAX(0,AB10+AC10-AD10)</f>
        <v/>
      </c>
      <c r="AF10" s="152">
        <f>AI9</f>
        <v/>
      </c>
      <c r="AG10" s="159">
        <f>IF(AF10&gt;0.005,AF10*Debts!D15/12,0)</f>
        <v/>
      </c>
      <c r="AH10" s="159" t="n">
        <v>0</v>
      </c>
      <c r="AI10" s="152">
        <f>MAX(0,AF10+AG10-AH10)</f>
        <v/>
      </c>
      <c r="AJ10" s="152">
        <f>AM9</f>
        <v/>
      </c>
      <c r="AK10" s="159">
        <f>IF(AJ10&gt;0.005,AJ10*Debts!D16/12,0)</f>
        <v/>
      </c>
      <c r="AL10" s="159" t="n">
        <v>0</v>
      </c>
      <c r="AM10" s="152">
        <f>MAX(0,AJ10+AK10-AL10)</f>
        <v/>
      </c>
      <c r="AN10" s="152">
        <f>AQ9</f>
        <v/>
      </c>
      <c r="AO10" s="159">
        <f>IF(AN10&gt;0.005,AN10*Debts!D17/12,0)</f>
        <v/>
      </c>
      <c r="AP10" s="159" t="n">
        <v>0</v>
      </c>
      <c r="AQ10" s="152">
        <f>MAX(0,AN10+AO10-AP10)</f>
        <v/>
      </c>
      <c r="AR10" s="152">
        <f>AU9</f>
        <v/>
      </c>
      <c r="AS10" s="159">
        <f>IF(AR10&gt;0.005,AR10*Debts!D18/12,0)</f>
        <v/>
      </c>
      <c r="AT10" s="159" t="n">
        <v>0</v>
      </c>
      <c r="AU10" s="152">
        <f>MAX(0,AR10+AS10-AT10)</f>
        <v/>
      </c>
      <c r="AV10" s="152">
        <f>AY9</f>
        <v/>
      </c>
      <c r="AW10" s="159">
        <f>IF(AV10&gt;0.005,AV10*Debts!D19/12,0)</f>
        <v/>
      </c>
      <c r="AX10" s="159" t="n">
        <v>0</v>
      </c>
      <c r="AY10" s="152">
        <f>MAX(0,AV10+AW10-AX10)</f>
        <v/>
      </c>
      <c r="AZ10" s="152">
        <f>BC9</f>
        <v/>
      </c>
      <c r="BA10" s="159">
        <f>IF(AZ10&gt;0.005,AZ10*Debts!D20/12,0)</f>
        <v/>
      </c>
      <c r="BB10" s="159" t="n">
        <v>0</v>
      </c>
      <c r="BC10" s="152">
        <f>MAX(0,AZ10+BA10-BB10)</f>
        <v/>
      </c>
      <c r="BD10" s="152">
        <f>BG9</f>
        <v/>
      </c>
      <c r="BE10" s="159">
        <f>IF(BD10&gt;0.005,BD10*Debts!D21/12,0)</f>
        <v/>
      </c>
      <c r="BF10" s="159" t="n">
        <v>0</v>
      </c>
      <c r="BG10" s="152">
        <f>MAX(0,BD10+BE10-BF10)</f>
        <v/>
      </c>
      <c r="BH10" s="152">
        <f>BK9</f>
        <v/>
      </c>
      <c r="BI10" s="159">
        <f>IF(BH10&gt;0.005,BH10*Debts!D22/12,0)</f>
        <v/>
      </c>
      <c r="BJ10" s="159" t="n">
        <v>0</v>
      </c>
      <c r="BK10" s="152">
        <f>MAX(0,BH10+BI10-BJ10)</f>
        <v/>
      </c>
      <c r="BL10" s="152">
        <f>BO9</f>
        <v/>
      </c>
      <c r="BM10" s="159">
        <f>IF(BL10&gt;0.005,BL10*Debts!D23/12,0)</f>
        <v/>
      </c>
      <c r="BN10" s="159" t="n">
        <v>0</v>
      </c>
      <c r="BO10" s="152">
        <f>MAX(0,BL10+BM10-BN10)</f>
        <v/>
      </c>
      <c r="BP10" s="152">
        <f>BS9</f>
        <v/>
      </c>
      <c r="BQ10" s="159">
        <f>IF(BP10&gt;0.005,BP10*Debts!D24/12,0)</f>
        <v/>
      </c>
      <c r="BR10" s="159" t="n">
        <v>0</v>
      </c>
      <c r="BS10" s="152">
        <f>MAX(0,BP10+BQ10-BR10)</f>
        <v/>
      </c>
      <c r="BT10" s="152">
        <f>BW9</f>
        <v/>
      </c>
      <c r="BU10" s="159">
        <f>IF(BT10&gt;0.005,BT10*Debts!D25/12,0)</f>
        <v/>
      </c>
      <c r="BV10" s="159" t="n">
        <v>0</v>
      </c>
      <c r="BW10" s="152">
        <f>MAX(0,BT10+BU10-BV10)</f>
        <v/>
      </c>
      <c r="BX10" s="152">
        <f>CA9</f>
        <v/>
      </c>
      <c r="BY10" s="159">
        <f>IF(BX10&gt;0.005,BX10*Debts!D26/12,0)</f>
        <v/>
      </c>
      <c r="BZ10" s="159" t="n">
        <v>0</v>
      </c>
      <c r="CA10" s="152">
        <f>MAX(0,BX10+BY10-BZ10)</f>
        <v/>
      </c>
      <c r="CB10" s="152">
        <f>CE9</f>
        <v/>
      </c>
      <c r="CC10" s="159">
        <f>IF(CB10&gt;0.005,CB10*Debts!D27/12,0)</f>
        <v/>
      </c>
      <c r="CD10" s="159" t="n">
        <v>0</v>
      </c>
      <c r="CE10" s="152">
        <f>MAX(0,CB10+CC10-CD10)</f>
        <v/>
      </c>
      <c r="CF10" s="152">
        <f>G10+K10+O10+S10+W10+AA10+AE10+AI10+AM10+AQ10+AU10+AY10+BC10+BG10+BK10+BO10+BS10+BW10+CA10+CE10</f>
        <v/>
      </c>
      <c r="CG10" s="159">
        <f>E10+I10+M10+Q10+U10+Y10+AC10+AG10+AK10+AO10+AS10+AW10+BA10+BE10+BI10+BM10+BQ10+BU10+BY10+CC10</f>
        <v/>
      </c>
      <c r="CH10" s="152">
        <f>CH9+CG10</f>
        <v/>
      </c>
      <c r="CI10" s="148" t="n"/>
      <c r="CJ10" s="148" t="n"/>
    </row>
    <row r="11" ht="15" customHeight="1" s="83">
      <c r="A11" s="148" t="n"/>
      <c r="B11" s="158" t="n">
        <v>7</v>
      </c>
      <c r="C11" s="152">
        <f>F11+J11+N11+R11+V11+Z11+AD11+AH11+AL11+AP11+AT11+AX11+BB11+BF11+BJ11+BN11+BR11+BV11+BZ11+CD11</f>
        <v/>
      </c>
      <c r="D11" s="152">
        <f>G10</f>
        <v/>
      </c>
      <c r="E11" s="159">
        <f>IF(D11&gt;0.005,D11*Debts!D8/12,0)</f>
        <v/>
      </c>
      <c r="F11" s="159" t="n">
        <v>0</v>
      </c>
      <c r="G11" s="152">
        <f>MAX(0,D11+E11-F11)</f>
        <v/>
      </c>
      <c r="H11" s="152">
        <f>K10</f>
        <v/>
      </c>
      <c r="I11" s="159">
        <f>IF(H11&gt;0.005,H11*Debts!D9/12,0)</f>
        <v/>
      </c>
      <c r="J11" s="159" t="n">
        <v>0</v>
      </c>
      <c r="K11" s="152">
        <f>MAX(0,H11+I11-J11)</f>
        <v/>
      </c>
      <c r="L11" s="152">
        <f>O10</f>
        <v/>
      </c>
      <c r="M11" s="159">
        <f>IF(L11&gt;0.005,L11*Debts!D10/12,0)</f>
        <v/>
      </c>
      <c r="N11" s="159" t="n">
        <v>0</v>
      </c>
      <c r="O11" s="152">
        <f>MAX(0,L11+M11-N11)</f>
        <v/>
      </c>
      <c r="P11" s="152">
        <f>S10</f>
        <v/>
      </c>
      <c r="Q11" s="159">
        <f>IF(P11&gt;0.005,P11*Debts!D11/12,0)</f>
        <v/>
      </c>
      <c r="R11" s="159" t="n">
        <v>0</v>
      </c>
      <c r="S11" s="152">
        <f>MAX(0,P11+Q11-R11)</f>
        <v/>
      </c>
      <c r="T11" s="152">
        <f>W10</f>
        <v/>
      </c>
      <c r="U11" s="159">
        <f>IF(T11&gt;0.005,T11*Debts!D12/12,0)</f>
        <v/>
      </c>
      <c r="V11" s="159" t="n">
        <v>0</v>
      </c>
      <c r="W11" s="152">
        <f>MAX(0,T11+U11-V11)</f>
        <v/>
      </c>
      <c r="X11" s="152">
        <f>AA10</f>
        <v/>
      </c>
      <c r="Y11" s="159">
        <f>IF(X11&gt;0.005,X11*Debts!D13/12,0)</f>
        <v/>
      </c>
      <c r="Z11" s="159" t="n">
        <v>0</v>
      </c>
      <c r="AA11" s="152">
        <f>MAX(0,X11+Y11-Z11)</f>
        <v/>
      </c>
      <c r="AB11" s="152">
        <f>AE10</f>
        <v/>
      </c>
      <c r="AC11" s="159">
        <f>IF(AB11&gt;0.005,AB11*Debts!D14/12,0)</f>
        <v/>
      </c>
      <c r="AD11" s="159" t="n">
        <v>0</v>
      </c>
      <c r="AE11" s="152">
        <f>MAX(0,AB11+AC11-AD11)</f>
        <v/>
      </c>
      <c r="AF11" s="152">
        <f>AI10</f>
        <v/>
      </c>
      <c r="AG11" s="159">
        <f>IF(AF11&gt;0.005,AF11*Debts!D15/12,0)</f>
        <v/>
      </c>
      <c r="AH11" s="159" t="n">
        <v>0</v>
      </c>
      <c r="AI11" s="152">
        <f>MAX(0,AF11+AG11-AH11)</f>
        <v/>
      </c>
      <c r="AJ11" s="152">
        <f>AM10</f>
        <v/>
      </c>
      <c r="AK11" s="159">
        <f>IF(AJ11&gt;0.005,AJ11*Debts!D16/12,0)</f>
        <v/>
      </c>
      <c r="AL11" s="159" t="n">
        <v>0</v>
      </c>
      <c r="AM11" s="152">
        <f>MAX(0,AJ11+AK11-AL11)</f>
        <v/>
      </c>
      <c r="AN11" s="152">
        <f>AQ10</f>
        <v/>
      </c>
      <c r="AO11" s="159">
        <f>IF(AN11&gt;0.005,AN11*Debts!D17/12,0)</f>
        <v/>
      </c>
      <c r="AP11" s="159" t="n">
        <v>0</v>
      </c>
      <c r="AQ11" s="152">
        <f>MAX(0,AN11+AO11-AP11)</f>
        <v/>
      </c>
      <c r="AR11" s="152">
        <f>AU10</f>
        <v/>
      </c>
      <c r="AS11" s="159">
        <f>IF(AR11&gt;0.005,AR11*Debts!D18/12,0)</f>
        <v/>
      </c>
      <c r="AT11" s="159" t="n">
        <v>0</v>
      </c>
      <c r="AU11" s="152">
        <f>MAX(0,AR11+AS11-AT11)</f>
        <v/>
      </c>
      <c r="AV11" s="152">
        <f>AY10</f>
        <v/>
      </c>
      <c r="AW11" s="159">
        <f>IF(AV11&gt;0.005,AV11*Debts!D19/12,0)</f>
        <v/>
      </c>
      <c r="AX11" s="159" t="n">
        <v>0</v>
      </c>
      <c r="AY11" s="152">
        <f>MAX(0,AV11+AW11-AX11)</f>
        <v/>
      </c>
      <c r="AZ11" s="152">
        <f>BC10</f>
        <v/>
      </c>
      <c r="BA11" s="159">
        <f>IF(AZ11&gt;0.005,AZ11*Debts!D20/12,0)</f>
        <v/>
      </c>
      <c r="BB11" s="159" t="n">
        <v>0</v>
      </c>
      <c r="BC11" s="152">
        <f>MAX(0,AZ11+BA11-BB11)</f>
        <v/>
      </c>
      <c r="BD11" s="152">
        <f>BG10</f>
        <v/>
      </c>
      <c r="BE11" s="159">
        <f>IF(BD11&gt;0.005,BD11*Debts!D21/12,0)</f>
        <v/>
      </c>
      <c r="BF11" s="159" t="n">
        <v>0</v>
      </c>
      <c r="BG11" s="152">
        <f>MAX(0,BD11+BE11-BF11)</f>
        <v/>
      </c>
      <c r="BH11" s="152">
        <f>BK10</f>
        <v/>
      </c>
      <c r="BI11" s="159">
        <f>IF(BH11&gt;0.005,BH11*Debts!D22/12,0)</f>
        <v/>
      </c>
      <c r="BJ11" s="159" t="n">
        <v>0</v>
      </c>
      <c r="BK11" s="152">
        <f>MAX(0,BH11+BI11-BJ11)</f>
        <v/>
      </c>
      <c r="BL11" s="152">
        <f>BO10</f>
        <v/>
      </c>
      <c r="BM11" s="159">
        <f>IF(BL11&gt;0.005,BL11*Debts!D23/12,0)</f>
        <v/>
      </c>
      <c r="BN11" s="159" t="n">
        <v>0</v>
      </c>
      <c r="BO11" s="152">
        <f>MAX(0,BL11+BM11-BN11)</f>
        <v/>
      </c>
      <c r="BP11" s="152">
        <f>BS10</f>
        <v/>
      </c>
      <c r="BQ11" s="159">
        <f>IF(BP11&gt;0.005,BP11*Debts!D24/12,0)</f>
        <v/>
      </c>
      <c r="BR11" s="159" t="n">
        <v>0</v>
      </c>
      <c r="BS11" s="152">
        <f>MAX(0,BP11+BQ11-BR11)</f>
        <v/>
      </c>
      <c r="BT11" s="152">
        <f>BW10</f>
        <v/>
      </c>
      <c r="BU11" s="159">
        <f>IF(BT11&gt;0.005,BT11*Debts!D25/12,0)</f>
        <v/>
      </c>
      <c r="BV11" s="159" t="n">
        <v>0</v>
      </c>
      <c r="BW11" s="152">
        <f>MAX(0,BT11+BU11-BV11)</f>
        <v/>
      </c>
      <c r="BX11" s="152">
        <f>CA10</f>
        <v/>
      </c>
      <c r="BY11" s="159">
        <f>IF(BX11&gt;0.005,BX11*Debts!D26/12,0)</f>
        <v/>
      </c>
      <c r="BZ11" s="159" t="n">
        <v>0</v>
      </c>
      <c r="CA11" s="152">
        <f>MAX(0,BX11+BY11-BZ11)</f>
        <v/>
      </c>
      <c r="CB11" s="152">
        <f>CE10</f>
        <v/>
      </c>
      <c r="CC11" s="159">
        <f>IF(CB11&gt;0.005,CB11*Debts!D27/12,0)</f>
        <v/>
      </c>
      <c r="CD11" s="159" t="n">
        <v>0</v>
      </c>
      <c r="CE11" s="152">
        <f>MAX(0,CB11+CC11-CD11)</f>
        <v/>
      </c>
      <c r="CF11" s="152">
        <f>G11+K11+O11+S11+W11+AA11+AE11+AI11+AM11+AQ11+AU11+AY11+BC11+BG11+BK11+BO11+BS11+BW11+CA11+CE11</f>
        <v/>
      </c>
      <c r="CG11" s="159">
        <f>E11+I11+M11+Q11+U11+Y11+AC11+AG11+AK11+AO11+AS11+AW11+BA11+BE11+BI11+BM11+BQ11+BU11+BY11+CC11</f>
        <v/>
      </c>
      <c r="CH11" s="152">
        <f>CH10+CG11</f>
        <v/>
      </c>
      <c r="CI11" s="148" t="n"/>
      <c r="CJ11" s="148" t="n"/>
    </row>
    <row r="12" ht="15" customHeight="1" s="83">
      <c r="A12" s="148" t="n"/>
      <c r="B12" s="158" t="n">
        <v>8</v>
      </c>
      <c r="C12" s="152">
        <f>F12+J12+N12+R12+V12+Z12+AD12+AH12+AL12+AP12+AT12+AX12+BB12+BF12+BJ12+BN12+BR12+BV12+BZ12+CD12</f>
        <v/>
      </c>
      <c r="D12" s="152">
        <f>G11</f>
        <v/>
      </c>
      <c r="E12" s="159">
        <f>IF(D12&gt;0.005,D12*Debts!D8/12,0)</f>
        <v/>
      </c>
      <c r="F12" s="159" t="n">
        <v>0</v>
      </c>
      <c r="G12" s="152">
        <f>MAX(0,D12+E12-F12)</f>
        <v/>
      </c>
      <c r="H12" s="152">
        <f>K11</f>
        <v/>
      </c>
      <c r="I12" s="159">
        <f>IF(H12&gt;0.005,H12*Debts!D9/12,0)</f>
        <v/>
      </c>
      <c r="J12" s="159" t="n">
        <v>0</v>
      </c>
      <c r="K12" s="152">
        <f>MAX(0,H12+I12-J12)</f>
        <v/>
      </c>
      <c r="L12" s="152">
        <f>O11</f>
        <v/>
      </c>
      <c r="M12" s="159">
        <f>IF(L12&gt;0.005,L12*Debts!D10/12,0)</f>
        <v/>
      </c>
      <c r="N12" s="159" t="n">
        <v>0</v>
      </c>
      <c r="O12" s="152">
        <f>MAX(0,L12+M12-N12)</f>
        <v/>
      </c>
      <c r="P12" s="152">
        <f>S11</f>
        <v/>
      </c>
      <c r="Q12" s="159">
        <f>IF(P12&gt;0.005,P12*Debts!D11/12,0)</f>
        <v/>
      </c>
      <c r="R12" s="159" t="n">
        <v>0</v>
      </c>
      <c r="S12" s="152">
        <f>MAX(0,P12+Q12-R12)</f>
        <v/>
      </c>
      <c r="T12" s="152">
        <f>W11</f>
        <v/>
      </c>
      <c r="U12" s="159">
        <f>IF(T12&gt;0.005,T12*Debts!D12/12,0)</f>
        <v/>
      </c>
      <c r="V12" s="159" t="n">
        <v>0</v>
      </c>
      <c r="W12" s="152">
        <f>MAX(0,T12+U12-V12)</f>
        <v/>
      </c>
      <c r="X12" s="152">
        <f>AA11</f>
        <v/>
      </c>
      <c r="Y12" s="159">
        <f>IF(X12&gt;0.005,X12*Debts!D13/12,0)</f>
        <v/>
      </c>
      <c r="Z12" s="159" t="n">
        <v>0</v>
      </c>
      <c r="AA12" s="152">
        <f>MAX(0,X12+Y12-Z12)</f>
        <v/>
      </c>
      <c r="AB12" s="152">
        <f>AE11</f>
        <v/>
      </c>
      <c r="AC12" s="159">
        <f>IF(AB12&gt;0.005,AB12*Debts!D14/12,0)</f>
        <v/>
      </c>
      <c r="AD12" s="159" t="n">
        <v>0</v>
      </c>
      <c r="AE12" s="152">
        <f>MAX(0,AB12+AC12-AD12)</f>
        <v/>
      </c>
      <c r="AF12" s="152">
        <f>AI11</f>
        <v/>
      </c>
      <c r="AG12" s="159">
        <f>IF(AF12&gt;0.005,AF12*Debts!D15/12,0)</f>
        <v/>
      </c>
      <c r="AH12" s="159" t="n">
        <v>0</v>
      </c>
      <c r="AI12" s="152">
        <f>MAX(0,AF12+AG12-AH12)</f>
        <v/>
      </c>
      <c r="AJ12" s="152">
        <f>AM11</f>
        <v/>
      </c>
      <c r="AK12" s="159">
        <f>IF(AJ12&gt;0.005,AJ12*Debts!D16/12,0)</f>
        <v/>
      </c>
      <c r="AL12" s="159" t="n">
        <v>0</v>
      </c>
      <c r="AM12" s="152">
        <f>MAX(0,AJ12+AK12-AL12)</f>
        <v/>
      </c>
      <c r="AN12" s="152">
        <f>AQ11</f>
        <v/>
      </c>
      <c r="AO12" s="159">
        <f>IF(AN12&gt;0.005,AN12*Debts!D17/12,0)</f>
        <v/>
      </c>
      <c r="AP12" s="159" t="n">
        <v>0</v>
      </c>
      <c r="AQ12" s="152">
        <f>MAX(0,AN12+AO12-AP12)</f>
        <v/>
      </c>
      <c r="AR12" s="152">
        <f>AU11</f>
        <v/>
      </c>
      <c r="AS12" s="159">
        <f>IF(AR12&gt;0.005,AR12*Debts!D18/12,0)</f>
        <v/>
      </c>
      <c r="AT12" s="159" t="n">
        <v>0</v>
      </c>
      <c r="AU12" s="152">
        <f>MAX(0,AR12+AS12-AT12)</f>
        <v/>
      </c>
      <c r="AV12" s="152">
        <f>AY11</f>
        <v/>
      </c>
      <c r="AW12" s="159">
        <f>IF(AV12&gt;0.005,AV12*Debts!D19/12,0)</f>
        <v/>
      </c>
      <c r="AX12" s="159" t="n">
        <v>0</v>
      </c>
      <c r="AY12" s="152">
        <f>MAX(0,AV12+AW12-AX12)</f>
        <v/>
      </c>
      <c r="AZ12" s="152">
        <f>BC11</f>
        <v/>
      </c>
      <c r="BA12" s="159">
        <f>IF(AZ12&gt;0.005,AZ12*Debts!D20/12,0)</f>
        <v/>
      </c>
      <c r="BB12" s="159" t="n">
        <v>0</v>
      </c>
      <c r="BC12" s="152">
        <f>MAX(0,AZ12+BA12-BB12)</f>
        <v/>
      </c>
      <c r="BD12" s="152">
        <f>BG11</f>
        <v/>
      </c>
      <c r="BE12" s="159">
        <f>IF(BD12&gt;0.005,BD12*Debts!D21/12,0)</f>
        <v/>
      </c>
      <c r="BF12" s="159" t="n">
        <v>0</v>
      </c>
      <c r="BG12" s="152">
        <f>MAX(0,BD12+BE12-BF12)</f>
        <v/>
      </c>
      <c r="BH12" s="152">
        <f>BK11</f>
        <v/>
      </c>
      <c r="BI12" s="159">
        <f>IF(BH12&gt;0.005,BH12*Debts!D22/12,0)</f>
        <v/>
      </c>
      <c r="BJ12" s="159" t="n">
        <v>0</v>
      </c>
      <c r="BK12" s="152">
        <f>MAX(0,BH12+BI12-BJ12)</f>
        <v/>
      </c>
      <c r="BL12" s="152">
        <f>BO11</f>
        <v/>
      </c>
      <c r="BM12" s="159">
        <f>IF(BL12&gt;0.005,BL12*Debts!D23/12,0)</f>
        <v/>
      </c>
      <c r="BN12" s="159" t="n">
        <v>0</v>
      </c>
      <c r="BO12" s="152">
        <f>MAX(0,BL12+BM12-BN12)</f>
        <v/>
      </c>
      <c r="BP12" s="152">
        <f>BS11</f>
        <v/>
      </c>
      <c r="BQ12" s="159">
        <f>IF(BP12&gt;0.005,BP12*Debts!D24/12,0)</f>
        <v/>
      </c>
      <c r="BR12" s="159" t="n">
        <v>0</v>
      </c>
      <c r="BS12" s="152">
        <f>MAX(0,BP12+BQ12-BR12)</f>
        <v/>
      </c>
      <c r="BT12" s="152">
        <f>BW11</f>
        <v/>
      </c>
      <c r="BU12" s="159">
        <f>IF(BT12&gt;0.005,BT12*Debts!D25/12,0)</f>
        <v/>
      </c>
      <c r="BV12" s="159" t="n">
        <v>0</v>
      </c>
      <c r="BW12" s="152">
        <f>MAX(0,BT12+BU12-BV12)</f>
        <v/>
      </c>
      <c r="BX12" s="152">
        <f>CA11</f>
        <v/>
      </c>
      <c r="BY12" s="159">
        <f>IF(BX12&gt;0.005,BX12*Debts!D26/12,0)</f>
        <v/>
      </c>
      <c r="BZ12" s="159" t="n">
        <v>0</v>
      </c>
      <c r="CA12" s="152">
        <f>MAX(0,BX12+BY12-BZ12)</f>
        <v/>
      </c>
      <c r="CB12" s="152">
        <f>CE11</f>
        <v/>
      </c>
      <c r="CC12" s="159">
        <f>IF(CB12&gt;0.005,CB12*Debts!D27/12,0)</f>
        <v/>
      </c>
      <c r="CD12" s="159" t="n">
        <v>0</v>
      </c>
      <c r="CE12" s="152">
        <f>MAX(0,CB12+CC12-CD12)</f>
        <v/>
      </c>
      <c r="CF12" s="152">
        <f>G12+K12+O12+S12+W12+AA12+AE12+AI12+AM12+AQ12+AU12+AY12+BC12+BG12+BK12+BO12+BS12+BW12+CA12+CE12</f>
        <v/>
      </c>
      <c r="CG12" s="159">
        <f>E12+I12+M12+Q12+U12+Y12+AC12+AG12+AK12+AO12+AS12+AW12+BA12+BE12+BI12+BM12+BQ12+BU12+BY12+CC12</f>
        <v/>
      </c>
      <c r="CH12" s="152">
        <f>CH11+CG12</f>
        <v/>
      </c>
      <c r="CI12" s="148" t="n"/>
      <c r="CJ12" s="148" t="n"/>
    </row>
    <row r="13" ht="15" customHeight="1" s="83">
      <c r="A13" s="148" t="n"/>
      <c r="B13" s="158" t="n">
        <v>9</v>
      </c>
      <c r="C13" s="152">
        <f>F13+J13+N13+R13+V13+Z13+AD13+AH13+AL13+AP13+AT13+AX13+BB13+BF13+BJ13+BN13+BR13+BV13+BZ13+CD13</f>
        <v/>
      </c>
      <c r="D13" s="152">
        <f>G12</f>
        <v/>
      </c>
      <c r="E13" s="159">
        <f>IF(D13&gt;0.005,D13*Debts!D8/12,0)</f>
        <v/>
      </c>
      <c r="F13" s="159" t="n">
        <v>0</v>
      </c>
      <c r="G13" s="152">
        <f>MAX(0,D13+E13-F13)</f>
        <v/>
      </c>
      <c r="H13" s="152">
        <f>K12</f>
        <v/>
      </c>
      <c r="I13" s="159">
        <f>IF(H13&gt;0.005,H13*Debts!D9/12,0)</f>
        <v/>
      </c>
      <c r="J13" s="159" t="n">
        <v>0</v>
      </c>
      <c r="K13" s="152">
        <f>MAX(0,H13+I13-J13)</f>
        <v/>
      </c>
      <c r="L13" s="152">
        <f>O12</f>
        <v/>
      </c>
      <c r="M13" s="159">
        <f>IF(L13&gt;0.005,L13*Debts!D10/12,0)</f>
        <v/>
      </c>
      <c r="N13" s="159" t="n">
        <v>0</v>
      </c>
      <c r="O13" s="152">
        <f>MAX(0,L13+M13-N13)</f>
        <v/>
      </c>
      <c r="P13" s="152">
        <f>S12</f>
        <v/>
      </c>
      <c r="Q13" s="159">
        <f>IF(P13&gt;0.005,P13*Debts!D11/12,0)</f>
        <v/>
      </c>
      <c r="R13" s="159" t="n">
        <v>0</v>
      </c>
      <c r="S13" s="152">
        <f>MAX(0,P13+Q13-R13)</f>
        <v/>
      </c>
      <c r="T13" s="152">
        <f>W12</f>
        <v/>
      </c>
      <c r="U13" s="159">
        <f>IF(T13&gt;0.005,T13*Debts!D12/12,0)</f>
        <v/>
      </c>
      <c r="V13" s="159" t="n">
        <v>0</v>
      </c>
      <c r="W13" s="152">
        <f>MAX(0,T13+U13-V13)</f>
        <v/>
      </c>
      <c r="X13" s="152">
        <f>AA12</f>
        <v/>
      </c>
      <c r="Y13" s="159">
        <f>IF(X13&gt;0.005,X13*Debts!D13/12,0)</f>
        <v/>
      </c>
      <c r="Z13" s="159" t="n">
        <v>0</v>
      </c>
      <c r="AA13" s="152">
        <f>MAX(0,X13+Y13-Z13)</f>
        <v/>
      </c>
      <c r="AB13" s="152">
        <f>AE12</f>
        <v/>
      </c>
      <c r="AC13" s="159">
        <f>IF(AB13&gt;0.005,AB13*Debts!D14/12,0)</f>
        <v/>
      </c>
      <c r="AD13" s="159" t="n">
        <v>0</v>
      </c>
      <c r="AE13" s="152">
        <f>MAX(0,AB13+AC13-AD13)</f>
        <v/>
      </c>
      <c r="AF13" s="152">
        <f>AI12</f>
        <v/>
      </c>
      <c r="AG13" s="159">
        <f>IF(AF13&gt;0.005,AF13*Debts!D15/12,0)</f>
        <v/>
      </c>
      <c r="AH13" s="159" t="n">
        <v>0</v>
      </c>
      <c r="AI13" s="152">
        <f>MAX(0,AF13+AG13-AH13)</f>
        <v/>
      </c>
      <c r="AJ13" s="152">
        <f>AM12</f>
        <v/>
      </c>
      <c r="AK13" s="159">
        <f>IF(AJ13&gt;0.005,AJ13*Debts!D16/12,0)</f>
        <v/>
      </c>
      <c r="AL13" s="159" t="n">
        <v>0</v>
      </c>
      <c r="AM13" s="152">
        <f>MAX(0,AJ13+AK13-AL13)</f>
        <v/>
      </c>
      <c r="AN13" s="152">
        <f>AQ12</f>
        <v/>
      </c>
      <c r="AO13" s="159">
        <f>IF(AN13&gt;0.005,AN13*Debts!D17/12,0)</f>
        <v/>
      </c>
      <c r="AP13" s="159" t="n">
        <v>0</v>
      </c>
      <c r="AQ13" s="152">
        <f>MAX(0,AN13+AO13-AP13)</f>
        <v/>
      </c>
      <c r="AR13" s="152">
        <f>AU12</f>
        <v/>
      </c>
      <c r="AS13" s="159">
        <f>IF(AR13&gt;0.005,AR13*Debts!D18/12,0)</f>
        <v/>
      </c>
      <c r="AT13" s="159" t="n">
        <v>0</v>
      </c>
      <c r="AU13" s="152">
        <f>MAX(0,AR13+AS13-AT13)</f>
        <v/>
      </c>
      <c r="AV13" s="152">
        <f>AY12</f>
        <v/>
      </c>
      <c r="AW13" s="159">
        <f>IF(AV13&gt;0.005,AV13*Debts!D19/12,0)</f>
        <v/>
      </c>
      <c r="AX13" s="159" t="n">
        <v>0</v>
      </c>
      <c r="AY13" s="152">
        <f>MAX(0,AV13+AW13-AX13)</f>
        <v/>
      </c>
      <c r="AZ13" s="152">
        <f>BC12</f>
        <v/>
      </c>
      <c r="BA13" s="159">
        <f>IF(AZ13&gt;0.005,AZ13*Debts!D20/12,0)</f>
        <v/>
      </c>
      <c r="BB13" s="159" t="n">
        <v>0</v>
      </c>
      <c r="BC13" s="152">
        <f>MAX(0,AZ13+BA13-BB13)</f>
        <v/>
      </c>
      <c r="BD13" s="152">
        <f>BG12</f>
        <v/>
      </c>
      <c r="BE13" s="159">
        <f>IF(BD13&gt;0.005,BD13*Debts!D21/12,0)</f>
        <v/>
      </c>
      <c r="BF13" s="159" t="n">
        <v>0</v>
      </c>
      <c r="BG13" s="152">
        <f>MAX(0,BD13+BE13-BF13)</f>
        <v/>
      </c>
      <c r="BH13" s="152">
        <f>BK12</f>
        <v/>
      </c>
      <c r="BI13" s="159">
        <f>IF(BH13&gt;0.005,BH13*Debts!D22/12,0)</f>
        <v/>
      </c>
      <c r="BJ13" s="159" t="n">
        <v>0</v>
      </c>
      <c r="BK13" s="152">
        <f>MAX(0,BH13+BI13-BJ13)</f>
        <v/>
      </c>
      <c r="BL13" s="152">
        <f>BO12</f>
        <v/>
      </c>
      <c r="BM13" s="159">
        <f>IF(BL13&gt;0.005,BL13*Debts!D23/12,0)</f>
        <v/>
      </c>
      <c r="BN13" s="159" t="n">
        <v>0</v>
      </c>
      <c r="BO13" s="152">
        <f>MAX(0,BL13+BM13-BN13)</f>
        <v/>
      </c>
      <c r="BP13" s="152">
        <f>BS12</f>
        <v/>
      </c>
      <c r="BQ13" s="159">
        <f>IF(BP13&gt;0.005,BP13*Debts!D24/12,0)</f>
        <v/>
      </c>
      <c r="BR13" s="159" t="n">
        <v>0</v>
      </c>
      <c r="BS13" s="152">
        <f>MAX(0,BP13+BQ13-BR13)</f>
        <v/>
      </c>
      <c r="BT13" s="152">
        <f>BW12</f>
        <v/>
      </c>
      <c r="BU13" s="159">
        <f>IF(BT13&gt;0.005,BT13*Debts!D25/12,0)</f>
        <v/>
      </c>
      <c r="BV13" s="159" t="n">
        <v>0</v>
      </c>
      <c r="BW13" s="152">
        <f>MAX(0,BT13+BU13-BV13)</f>
        <v/>
      </c>
      <c r="BX13" s="152">
        <f>CA12</f>
        <v/>
      </c>
      <c r="BY13" s="159">
        <f>IF(BX13&gt;0.005,BX13*Debts!D26/12,0)</f>
        <v/>
      </c>
      <c r="BZ13" s="159" t="n">
        <v>0</v>
      </c>
      <c r="CA13" s="152">
        <f>MAX(0,BX13+BY13-BZ13)</f>
        <v/>
      </c>
      <c r="CB13" s="152">
        <f>CE12</f>
        <v/>
      </c>
      <c r="CC13" s="159">
        <f>IF(CB13&gt;0.005,CB13*Debts!D27/12,0)</f>
        <v/>
      </c>
      <c r="CD13" s="159" t="n">
        <v>0</v>
      </c>
      <c r="CE13" s="152">
        <f>MAX(0,CB13+CC13-CD13)</f>
        <v/>
      </c>
      <c r="CF13" s="152">
        <f>G13+K13+O13+S13+W13+AA13+AE13+AI13+AM13+AQ13+AU13+AY13+BC13+BG13+BK13+BO13+BS13+BW13+CA13+CE13</f>
        <v/>
      </c>
      <c r="CG13" s="159">
        <f>E13+I13+M13+Q13+U13+Y13+AC13+AG13+AK13+AO13+AS13+AW13+BA13+BE13+BI13+BM13+BQ13+BU13+BY13+CC13</f>
        <v/>
      </c>
      <c r="CH13" s="152">
        <f>CH12+CG13</f>
        <v/>
      </c>
      <c r="CI13" s="148" t="n"/>
      <c r="CJ13" s="148" t="n"/>
    </row>
    <row r="14" ht="15" customHeight="1" s="83">
      <c r="A14" s="148" t="n"/>
      <c r="B14" s="158" t="n">
        <v>10</v>
      </c>
      <c r="C14" s="152">
        <f>F14+J14+N14+R14+V14+Z14+AD14+AH14+AL14+AP14+AT14+AX14+BB14+BF14+BJ14+BN14+BR14+BV14+BZ14+CD14</f>
        <v/>
      </c>
      <c r="D14" s="152">
        <f>G13</f>
        <v/>
      </c>
      <c r="E14" s="159">
        <f>IF(D14&gt;0.005,D14*Debts!D8/12,0)</f>
        <v/>
      </c>
      <c r="F14" s="159" t="n">
        <v>0</v>
      </c>
      <c r="G14" s="152">
        <f>MAX(0,D14+E14-F14)</f>
        <v/>
      </c>
      <c r="H14" s="152">
        <f>K13</f>
        <v/>
      </c>
      <c r="I14" s="159">
        <f>IF(H14&gt;0.005,H14*Debts!D9/12,0)</f>
        <v/>
      </c>
      <c r="J14" s="159" t="n">
        <v>0</v>
      </c>
      <c r="K14" s="152">
        <f>MAX(0,H14+I14-J14)</f>
        <v/>
      </c>
      <c r="L14" s="152">
        <f>O13</f>
        <v/>
      </c>
      <c r="M14" s="159">
        <f>IF(L14&gt;0.005,L14*Debts!D10/12,0)</f>
        <v/>
      </c>
      <c r="N14" s="159" t="n">
        <v>0</v>
      </c>
      <c r="O14" s="152">
        <f>MAX(0,L14+M14-N14)</f>
        <v/>
      </c>
      <c r="P14" s="152">
        <f>S13</f>
        <v/>
      </c>
      <c r="Q14" s="159">
        <f>IF(P14&gt;0.005,P14*Debts!D11/12,0)</f>
        <v/>
      </c>
      <c r="R14" s="159" t="n">
        <v>0</v>
      </c>
      <c r="S14" s="152">
        <f>MAX(0,P14+Q14-R14)</f>
        <v/>
      </c>
      <c r="T14" s="152">
        <f>W13</f>
        <v/>
      </c>
      <c r="U14" s="159">
        <f>IF(T14&gt;0.005,T14*Debts!D12/12,0)</f>
        <v/>
      </c>
      <c r="V14" s="159" t="n">
        <v>0</v>
      </c>
      <c r="W14" s="152">
        <f>MAX(0,T14+U14-V14)</f>
        <v/>
      </c>
      <c r="X14" s="152">
        <f>AA13</f>
        <v/>
      </c>
      <c r="Y14" s="159">
        <f>IF(X14&gt;0.005,X14*Debts!D13/12,0)</f>
        <v/>
      </c>
      <c r="Z14" s="159" t="n">
        <v>0</v>
      </c>
      <c r="AA14" s="152">
        <f>MAX(0,X14+Y14-Z14)</f>
        <v/>
      </c>
      <c r="AB14" s="152">
        <f>AE13</f>
        <v/>
      </c>
      <c r="AC14" s="159">
        <f>IF(AB14&gt;0.005,AB14*Debts!D14/12,0)</f>
        <v/>
      </c>
      <c r="AD14" s="159" t="n">
        <v>0</v>
      </c>
      <c r="AE14" s="152">
        <f>MAX(0,AB14+AC14-AD14)</f>
        <v/>
      </c>
      <c r="AF14" s="152">
        <f>AI13</f>
        <v/>
      </c>
      <c r="AG14" s="159">
        <f>IF(AF14&gt;0.005,AF14*Debts!D15/12,0)</f>
        <v/>
      </c>
      <c r="AH14" s="159" t="n">
        <v>0</v>
      </c>
      <c r="AI14" s="152">
        <f>MAX(0,AF14+AG14-AH14)</f>
        <v/>
      </c>
      <c r="AJ14" s="152">
        <f>AM13</f>
        <v/>
      </c>
      <c r="AK14" s="159">
        <f>IF(AJ14&gt;0.005,AJ14*Debts!D16/12,0)</f>
        <v/>
      </c>
      <c r="AL14" s="159" t="n">
        <v>0</v>
      </c>
      <c r="AM14" s="152">
        <f>MAX(0,AJ14+AK14-AL14)</f>
        <v/>
      </c>
      <c r="AN14" s="152">
        <f>AQ13</f>
        <v/>
      </c>
      <c r="AO14" s="159">
        <f>IF(AN14&gt;0.005,AN14*Debts!D17/12,0)</f>
        <v/>
      </c>
      <c r="AP14" s="159" t="n">
        <v>0</v>
      </c>
      <c r="AQ14" s="152">
        <f>MAX(0,AN14+AO14-AP14)</f>
        <v/>
      </c>
      <c r="AR14" s="152">
        <f>AU13</f>
        <v/>
      </c>
      <c r="AS14" s="159">
        <f>IF(AR14&gt;0.005,AR14*Debts!D18/12,0)</f>
        <v/>
      </c>
      <c r="AT14" s="159" t="n">
        <v>0</v>
      </c>
      <c r="AU14" s="152">
        <f>MAX(0,AR14+AS14-AT14)</f>
        <v/>
      </c>
      <c r="AV14" s="152">
        <f>AY13</f>
        <v/>
      </c>
      <c r="AW14" s="159">
        <f>IF(AV14&gt;0.005,AV14*Debts!D19/12,0)</f>
        <v/>
      </c>
      <c r="AX14" s="159" t="n">
        <v>0</v>
      </c>
      <c r="AY14" s="152">
        <f>MAX(0,AV14+AW14-AX14)</f>
        <v/>
      </c>
      <c r="AZ14" s="152">
        <f>BC13</f>
        <v/>
      </c>
      <c r="BA14" s="159">
        <f>IF(AZ14&gt;0.005,AZ14*Debts!D20/12,0)</f>
        <v/>
      </c>
      <c r="BB14" s="159" t="n">
        <v>0</v>
      </c>
      <c r="BC14" s="152">
        <f>MAX(0,AZ14+BA14-BB14)</f>
        <v/>
      </c>
      <c r="BD14" s="152">
        <f>BG13</f>
        <v/>
      </c>
      <c r="BE14" s="159">
        <f>IF(BD14&gt;0.005,BD14*Debts!D21/12,0)</f>
        <v/>
      </c>
      <c r="BF14" s="159" t="n">
        <v>0</v>
      </c>
      <c r="BG14" s="152">
        <f>MAX(0,BD14+BE14-BF14)</f>
        <v/>
      </c>
      <c r="BH14" s="152">
        <f>BK13</f>
        <v/>
      </c>
      <c r="BI14" s="159">
        <f>IF(BH14&gt;0.005,BH14*Debts!D22/12,0)</f>
        <v/>
      </c>
      <c r="BJ14" s="159" t="n">
        <v>0</v>
      </c>
      <c r="BK14" s="152">
        <f>MAX(0,BH14+BI14-BJ14)</f>
        <v/>
      </c>
      <c r="BL14" s="152">
        <f>BO13</f>
        <v/>
      </c>
      <c r="BM14" s="159">
        <f>IF(BL14&gt;0.005,BL14*Debts!D23/12,0)</f>
        <v/>
      </c>
      <c r="BN14" s="159" t="n">
        <v>0</v>
      </c>
      <c r="BO14" s="152">
        <f>MAX(0,BL14+BM14-BN14)</f>
        <v/>
      </c>
      <c r="BP14" s="152">
        <f>BS13</f>
        <v/>
      </c>
      <c r="BQ14" s="159">
        <f>IF(BP14&gt;0.005,BP14*Debts!D24/12,0)</f>
        <v/>
      </c>
      <c r="BR14" s="159" t="n">
        <v>0</v>
      </c>
      <c r="BS14" s="152">
        <f>MAX(0,BP14+BQ14-BR14)</f>
        <v/>
      </c>
      <c r="BT14" s="152">
        <f>BW13</f>
        <v/>
      </c>
      <c r="BU14" s="159">
        <f>IF(BT14&gt;0.005,BT14*Debts!D25/12,0)</f>
        <v/>
      </c>
      <c r="BV14" s="159" t="n">
        <v>0</v>
      </c>
      <c r="BW14" s="152">
        <f>MAX(0,BT14+BU14-BV14)</f>
        <v/>
      </c>
      <c r="BX14" s="152">
        <f>CA13</f>
        <v/>
      </c>
      <c r="BY14" s="159">
        <f>IF(BX14&gt;0.005,BX14*Debts!D26/12,0)</f>
        <v/>
      </c>
      <c r="BZ14" s="159" t="n">
        <v>0</v>
      </c>
      <c r="CA14" s="152">
        <f>MAX(0,BX14+BY14-BZ14)</f>
        <v/>
      </c>
      <c r="CB14" s="152">
        <f>CE13</f>
        <v/>
      </c>
      <c r="CC14" s="159">
        <f>IF(CB14&gt;0.005,CB14*Debts!D27/12,0)</f>
        <v/>
      </c>
      <c r="CD14" s="159" t="n">
        <v>0</v>
      </c>
      <c r="CE14" s="152">
        <f>MAX(0,CB14+CC14-CD14)</f>
        <v/>
      </c>
      <c r="CF14" s="152">
        <f>G14+K14+O14+S14+W14+AA14+AE14+AI14+AM14+AQ14+AU14+AY14+BC14+BG14+BK14+BO14+BS14+BW14+CA14+CE14</f>
        <v/>
      </c>
      <c r="CG14" s="159">
        <f>E14+I14+M14+Q14+U14+Y14+AC14+AG14+AK14+AO14+AS14+AW14+BA14+BE14+BI14+BM14+BQ14+BU14+BY14+CC14</f>
        <v/>
      </c>
      <c r="CH14" s="152">
        <f>CH13+CG14</f>
        <v/>
      </c>
      <c r="CI14" s="148" t="n"/>
      <c r="CJ14" s="148" t="n"/>
    </row>
    <row r="15" ht="15" customHeight="1" s="83">
      <c r="A15" s="148" t="n"/>
      <c r="B15" s="158" t="n">
        <v>11</v>
      </c>
      <c r="C15" s="152">
        <f>F15+J15+N15+R15+V15+Z15+AD15+AH15+AL15+AP15+AT15+AX15+BB15+BF15+BJ15+BN15+BR15+BV15+BZ15+CD15</f>
        <v/>
      </c>
      <c r="D15" s="152">
        <f>G14</f>
        <v/>
      </c>
      <c r="E15" s="159">
        <f>IF(D15&gt;0.005,D15*Debts!D8/12,0)</f>
        <v/>
      </c>
      <c r="F15" s="159" t="n">
        <v>0</v>
      </c>
      <c r="G15" s="152">
        <f>MAX(0,D15+E15-F15)</f>
        <v/>
      </c>
      <c r="H15" s="152">
        <f>K14</f>
        <v/>
      </c>
      <c r="I15" s="159">
        <f>IF(H15&gt;0.005,H15*Debts!D9/12,0)</f>
        <v/>
      </c>
      <c r="J15" s="159" t="n">
        <v>0</v>
      </c>
      <c r="K15" s="152">
        <f>MAX(0,H15+I15-J15)</f>
        <v/>
      </c>
      <c r="L15" s="152">
        <f>O14</f>
        <v/>
      </c>
      <c r="M15" s="159">
        <f>IF(L15&gt;0.005,L15*Debts!D10/12,0)</f>
        <v/>
      </c>
      <c r="N15" s="159" t="n">
        <v>0</v>
      </c>
      <c r="O15" s="152">
        <f>MAX(0,L15+M15-N15)</f>
        <v/>
      </c>
      <c r="P15" s="152">
        <f>S14</f>
        <v/>
      </c>
      <c r="Q15" s="159">
        <f>IF(P15&gt;0.005,P15*Debts!D11/12,0)</f>
        <v/>
      </c>
      <c r="R15" s="159" t="n">
        <v>0</v>
      </c>
      <c r="S15" s="152">
        <f>MAX(0,P15+Q15-R15)</f>
        <v/>
      </c>
      <c r="T15" s="152">
        <f>W14</f>
        <v/>
      </c>
      <c r="U15" s="159">
        <f>IF(T15&gt;0.005,T15*Debts!D12/12,0)</f>
        <v/>
      </c>
      <c r="V15" s="159" t="n">
        <v>0</v>
      </c>
      <c r="W15" s="152">
        <f>MAX(0,T15+U15-V15)</f>
        <v/>
      </c>
      <c r="X15" s="152">
        <f>AA14</f>
        <v/>
      </c>
      <c r="Y15" s="159">
        <f>IF(X15&gt;0.005,X15*Debts!D13/12,0)</f>
        <v/>
      </c>
      <c r="Z15" s="159" t="n">
        <v>0</v>
      </c>
      <c r="AA15" s="152">
        <f>MAX(0,X15+Y15-Z15)</f>
        <v/>
      </c>
      <c r="AB15" s="152">
        <f>AE14</f>
        <v/>
      </c>
      <c r="AC15" s="159">
        <f>IF(AB15&gt;0.005,AB15*Debts!D14/12,0)</f>
        <v/>
      </c>
      <c r="AD15" s="159" t="n">
        <v>0</v>
      </c>
      <c r="AE15" s="152">
        <f>MAX(0,AB15+AC15-AD15)</f>
        <v/>
      </c>
      <c r="AF15" s="152">
        <f>AI14</f>
        <v/>
      </c>
      <c r="AG15" s="159">
        <f>IF(AF15&gt;0.005,AF15*Debts!D15/12,0)</f>
        <v/>
      </c>
      <c r="AH15" s="159" t="n">
        <v>0</v>
      </c>
      <c r="AI15" s="152">
        <f>MAX(0,AF15+AG15-AH15)</f>
        <v/>
      </c>
      <c r="AJ15" s="152">
        <f>AM14</f>
        <v/>
      </c>
      <c r="AK15" s="159">
        <f>IF(AJ15&gt;0.005,AJ15*Debts!D16/12,0)</f>
        <v/>
      </c>
      <c r="AL15" s="159" t="n">
        <v>0</v>
      </c>
      <c r="AM15" s="152">
        <f>MAX(0,AJ15+AK15-AL15)</f>
        <v/>
      </c>
      <c r="AN15" s="152">
        <f>AQ14</f>
        <v/>
      </c>
      <c r="AO15" s="159">
        <f>IF(AN15&gt;0.005,AN15*Debts!D17/12,0)</f>
        <v/>
      </c>
      <c r="AP15" s="159" t="n">
        <v>0</v>
      </c>
      <c r="AQ15" s="152">
        <f>MAX(0,AN15+AO15-AP15)</f>
        <v/>
      </c>
      <c r="AR15" s="152">
        <f>AU14</f>
        <v/>
      </c>
      <c r="AS15" s="159">
        <f>IF(AR15&gt;0.005,AR15*Debts!D18/12,0)</f>
        <v/>
      </c>
      <c r="AT15" s="159" t="n">
        <v>0</v>
      </c>
      <c r="AU15" s="152">
        <f>MAX(0,AR15+AS15-AT15)</f>
        <v/>
      </c>
      <c r="AV15" s="152">
        <f>AY14</f>
        <v/>
      </c>
      <c r="AW15" s="159">
        <f>IF(AV15&gt;0.005,AV15*Debts!D19/12,0)</f>
        <v/>
      </c>
      <c r="AX15" s="159" t="n">
        <v>0</v>
      </c>
      <c r="AY15" s="152">
        <f>MAX(0,AV15+AW15-AX15)</f>
        <v/>
      </c>
      <c r="AZ15" s="152">
        <f>BC14</f>
        <v/>
      </c>
      <c r="BA15" s="159">
        <f>IF(AZ15&gt;0.005,AZ15*Debts!D20/12,0)</f>
        <v/>
      </c>
      <c r="BB15" s="159" t="n">
        <v>0</v>
      </c>
      <c r="BC15" s="152">
        <f>MAX(0,AZ15+BA15-BB15)</f>
        <v/>
      </c>
      <c r="BD15" s="152">
        <f>BG14</f>
        <v/>
      </c>
      <c r="BE15" s="159">
        <f>IF(BD15&gt;0.005,BD15*Debts!D21/12,0)</f>
        <v/>
      </c>
      <c r="BF15" s="159" t="n">
        <v>0</v>
      </c>
      <c r="BG15" s="152">
        <f>MAX(0,BD15+BE15-BF15)</f>
        <v/>
      </c>
      <c r="BH15" s="152">
        <f>BK14</f>
        <v/>
      </c>
      <c r="BI15" s="159">
        <f>IF(BH15&gt;0.005,BH15*Debts!D22/12,0)</f>
        <v/>
      </c>
      <c r="BJ15" s="159" t="n">
        <v>0</v>
      </c>
      <c r="BK15" s="152">
        <f>MAX(0,BH15+BI15-BJ15)</f>
        <v/>
      </c>
      <c r="BL15" s="152">
        <f>BO14</f>
        <v/>
      </c>
      <c r="BM15" s="159">
        <f>IF(BL15&gt;0.005,BL15*Debts!D23/12,0)</f>
        <v/>
      </c>
      <c r="BN15" s="159" t="n">
        <v>0</v>
      </c>
      <c r="BO15" s="152">
        <f>MAX(0,BL15+BM15-BN15)</f>
        <v/>
      </c>
      <c r="BP15" s="152">
        <f>BS14</f>
        <v/>
      </c>
      <c r="BQ15" s="159">
        <f>IF(BP15&gt;0.005,BP15*Debts!D24/12,0)</f>
        <v/>
      </c>
      <c r="BR15" s="159" t="n">
        <v>0</v>
      </c>
      <c r="BS15" s="152">
        <f>MAX(0,BP15+BQ15-BR15)</f>
        <v/>
      </c>
      <c r="BT15" s="152">
        <f>BW14</f>
        <v/>
      </c>
      <c r="BU15" s="159">
        <f>IF(BT15&gt;0.005,BT15*Debts!D25/12,0)</f>
        <v/>
      </c>
      <c r="BV15" s="159" t="n">
        <v>0</v>
      </c>
      <c r="BW15" s="152">
        <f>MAX(0,BT15+BU15-BV15)</f>
        <v/>
      </c>
      <c r="BX15" s="152">
        <f>CA14</f>
        <v/>
      </c>
      <c r="BY15" s="159">
        <f>IF(BX15&gt;0.005,BX15*Debts!D26/12,0)</f>
        <v/>
      </c>
      <c r="BZ15" s="159" t="n">
        <v>0</v>
      </c>
      <c r="CA15" s="152">
        <f>MAX(0,BX15+BY15-BZ15)</f>
        <v/>
      </c>
      <c r="CB15" s="152">
        <f>CE14</f>
        <v/>
      </c>
      <c r="CC15" s="159">
        <f>IF(CB15&gt;0.005,CB15*Debts!D27/12,0)</f>
        <v/>
      </c>
      <c r="CD15" s="159" t="n">
        <v>0</v>
      </c>
      <c r="CE15" s="152">
        <f>MAX(0,CB15+CC15-CD15)</f>
        <v/>
      </c>
      <c r="CF15" s="152">
        <f>G15+K15+O15+S15+W15+AA15+AE15+AI15+AM15+AQ15+AU15+AY15+BC15+BG15+BK15+BO15+BS15+BW15+CA15+CE15</f>
        <v/>
      </c>
      <c r="CG15" s="159">
        <f>E15+I15+M15+Q15+U15+Y15+AC15+AG15+AK15+AO15+AS15+AW15+BA15+BE15+BI15+BM15+BQ15+BU15+BY15+CC15</f>
        <v/>
      </c>
      <c r="CH15" s="152">
        <f>CH14+CG15</f>
        <v/>
      </c>
      <c r="CI15" s="148" t="n"/>
      <c r="CJ15" s="148" t="n"/>
    </row>
    <row r="16" ht="15" customHeight="1" s="83">
      <c r="A16" s="148" t="n"/>
      <c r="B16" s="158" t="n">
        <v>12</v>
      </c>
      <c r="C16" s="152">
        <f>F16+J16+N16+R16+V16+Z16+AD16+AH16+AL16+AP16+AT16+AX16+BB16+BF16+BJ16+BN16+BR16+BV16+BZ16+CD16</f>
        <v/>
      </c>
      <c r="D16" s="152">
        <f>G15</f>
        <v/>
      </c>
      <c r="E16" s="159">
        <f>IF(D16&gt;0.005,D16*Debts!D8/12,0)</f>
        <v/>
      </c>
      <c r="F16" s="159" t="n">
        <v>0</v>
      </c>
      <c r="G16" s="152">
        <f>MAX(0,D16+E16-F16)</f>
        <v/>
      </c>
      <c r="H16" s="152">
        <f>K15</f>
        <v/>
      </c>
      <c r="I16" s="159">
        <f>IF(H16&gt;0.005,H16*Debts!D9/12,0)</f>
        <v/>
      </c>
      <c r="J16" s="159" t="n">
        <v>0</v>
      </c>
      <c r="K16" s="152">
        <f>MAX(0,H16+I16-J16)</f>
        <v/>
      </c>
      <c r="L16" s="152">
        <f>O15</f>
        <v/>
      </c>
      <c r="M16" s="159">
        <f>IF(L16&gt;0.005,L16*Debts!D10/12,0)</f>
        <v/>
      </c>
      <c r="N16" s="159" t="n">
        <v>0</v>
      </c>
      <c r="O16" s="152">
        <f>MAX(0,L16+M16-N16)</f>
        <v/>
      </c>
      <c r="P16" s="152">
        <f>S15</f>
        <v/>
      </c>
      <c r="Q16" s="159">
        <f>IF(P16&gt;0.005,P16*Debts!D11/12,0)</f>
        <v/>
      </c>
      <c r="R16" s="159" t="n">
        <v>0</v>
      </c>
      <c r="S16" s="152">
        <f>MAX(0,P16+Q16-R16)</f>
        <v/>
      </c>
      <c r="T16" s="152">
        <f>W15</f>
        <v/>
      </c>
      <c r="U16" s="159">
        <f>IF(T16&gt;0.005,T16*Debts!D12/12,0)</f>
        <v/>
      </c>
      <c r="V16" s="159" t="n">
        <v>0</v>
      </c>
      <c r="W16" s="152">
        <f>MAX(0,T16+U16-V16)</f>
        <v/>
      </c>
      <c r="X16" s="152">
        <f>AA15</f>
        <v/>
      </c>
      <c r="Y16" s="159">
        <f>IF(X16&gt;0.005,X16*Debts!D13/12,0)</f>
        <v/>
      </c>
      <c r="Z16" s="159" t="n">
        <v>0</v>
      </c>
      <c r="AA16" s="152">
        <f>MAX(0,X16+Y16-Z16)</f>
        <v/>
      </c>
      <c r="AB16" s="152">
        <f>AE15</f>
        <v/>
      </c>
      <c r="AC16" s="159">
        <f>IF(AB16&gt;0.005,AB16*Debts!D14/12,0)</f>
        <v/>
      </c>
      <c r="AD16" s="159" t="n">
        <v>0</v>
      </c>
      <c r="AE16" s="152">
        <f>MAX(0,AB16+AC16-AD16)</f>
        <v/>
      </c>
      <c r="AF16" s="152">
        <f>AI15</f>
        <v/>
      </c>
      <c r="AG16" s="159">
        <f>IF(AF16&gt;0.005,AF16*Debts!D15/12,0)</f>
        <v/>
      </c>
      <c r="AH16" s="159" t="n">
        <v>0</v>
      </c>
      <c r="AI16" s="152">
        <f>MAX(0,AF16+AG16-AH16)</f>
        <v/>
      </c>
      <c r="AJ16" s="152">
        <f>AM15</f>
        <v/>
      </c>
      <c r="AK16" s="159">
        <f>IF(AJ16&gt;0.005,AJ16*Debts!D16/12,0)</f>
        <v/>
      </c>
      <c r="AL16" s="159" t="n">
        <v>0</v>
      </c>
      <c r="AM16" s="152">
        <f>MAX(0,AJ16+AK16-AL16)</f>
        <v/>
      </c>
      <c r="AN16" s="152">
        <f>AQ15</f>
        <v/>
      </c>
      <c r="AO16" s="159">
        <f>IF(AN16&gt;0.005,AN16*Debts!D17/12,0)</f>
        <v/>
      </c>
      <c r="AP16" s="159" t="n">
        <v>0</v>
      </c>
      <c r="AQ16" s="152">
        <f>MAX(0,AN16+AO16-AP16)</f>
        <v/>
      </c>
      <c r="AR16" s="152">
        <f>AU15</f>
        <v/>
      </c>
      <c r="AS16" s="159">
        <f>IF(AR16&gt;0.005,AR16*Debts!D18/12,0)</f>
        <v/>
      </c>
      <c r="AT16" s="159" t="n">
        <v>0</v>
      </c>
      <c r="AU16" s="152">
        <f>MAX(0,AR16+AS16-AT16)</f>
        <v/>
      </c>
      <c r="AV16" s="152">
        <f>AY15</f>
        <v/>
      </c>
      <c r="AW16" s="159">
        <f>IF(AV16&gt;0.005,AV16*Debts!D19/12,0)</f>
        <v/>
      </c>
      <c r="AX16" s="159" t="n">
        <v>0</v>
      </c>
      <c r="AY16" s="152">
        <f>MAX(0,AV16+AW16-AX16)</f>
        <v/>
      </c>
      <c r="AZ16" s="152">
        <f>BC15</f>
        <v/>
      </c>
      <c r="BA16" s="159">
        <f>IF(AZ16&gt;0.005,AZ16*Debts!D20/12,0)</f>
        <v/>
      </c>
      <c r="BB16" s="159" t="n">
        <v>0</v>
      </c>
      <c r="BC16" s="152">
        <f>MAX(0,AZ16+BA16-BB16)</f>
        <v/>
      </c>
      <c r="BD16" s="152">
        <f>BG15</f>
        <v/>
      </c>
      <c r="BE16" s="159">
        <f>IF(BD16&gt;0.005,BD16*Debts!D21/12,0)</f>
        <v/>
      </c>
      <c r="BF16" s="159" t="n">
        <v>0</v>
      </c>
      <c r="BG16" s="152">
        <f>MAX(0,BD16+BE16-BF16)</f>
        <v/>
      </c>
      <c r="BH16" s="152">
        <f>BK15</f>
        <v/>
      </c>
      <c r="BI16" s="159">
        <f>IF(BH16&gt;0.005,BH16*Debts!D22/12,0)</f>
        <v/>
      </c>
      <c r="BJ16" s="159" t="n">
        <v>0</v>
      </c>
      <c r="BK16" s="152">
        <f>MAX(0,BH16+BI16-BJ16)</f>
        <v/>
      </c>
      <c r="BL16" s="152">
        <f>BO15</f>
        <v/>
      </c>
      <c r="BM16" s="159">
        <f>IF(BL16&gt;0.005,BL16*Debts!D23/12,0)</f>
        <v/>
      </c>
      <c r="BN16" s="159" t="n">
        <v>0</v>
      </c>
      <c r="BO16" s="152">
        <f>MAX(0,BL16+BM16-BN16)</f>
        <v/>
      </c>
      <c r="BP16" s="152">
        <f>BS15</f>
        <v/>
      </c>
      <c r="BQ16" s="159">
        <f>IF(BP16&gt;0.005,BP16*Debts!D24/12,0)</f>
        <v/>
      </c>
      <c r="BR16" s="159" t="n">
        <v>0</v>
      </c>
      <c r="BS16" s="152">
        <f>MAX(0,BP16+BQ16-BR16)</f>
        <v/>
      </c>
      <c r="BT16" s="152">
        <f>BW15</f>
        <v/>
      </c>
      <c r="BU16" s="159">
        <f>IF(BT16&gt;0.005,BT16*Debts!D25/12,0)</f>
        <v/>
      </c>
      <c r="BV16" s="159" t="n">
        <v>0</v>
      </c>
      <c r="BW16" s="152">
        <f>MAX(0,BT16+BU16-BV16)</f>
        <v/>
      </c>
      <c r="BX16" s="152">
        <f>CA15</f>
        <v/>
      </c>
      <c r="BY16" s="159">
        <f>IF(BX16&gt;0.005,BX16*Debts!D26/12,0)</f>
        <v/>
      </c>
      <c r="BZ16" s="159" t="n">
        <v>0</v>
      </c>
      <c r="CA16" s="152">
        <f>MAX(0,BX16+BY16-BZ16)</f>
        <v/>
      </c>
      <c r="CB16" s="152">
        <f>CE15</f>
        <v/>
      </c>
      <c r="CC16" s="159">
        <f>IF(CB16&gt;0.005,CB16*Debts!D27/12,0)</f>
        <v/>
      </c>
      <c r="CD16" s="159" t="n">
        <v>0</v>
      </c>
      <c r="CE16" s="152">
        <f>MAX(0,CB16+CC16-CD16)</f>
        <v/>
      </c>
      <c r="CF16" s="152">
        <f>G16+K16+O16+S16+W16+AA16+AE16+AI16+AM16+AQ16+AU16+AY16+BC16+BG16+BK16+BO16+BS16+BW16+CA16+CE16</f>
        <v/>
      </c>
      <c r="CG16" s="159">
        <f>E16+I16+M16+Q16+U16+Y16+AC16+AG16+AK16+AO16+AS16+AW16+BA16+BE16+BI16+BM16+BQ16+BU16+BY16+CC16</f>
        <v/>
      </c>
      <c r="CH16" s="152">
        <f>CH15+CG16</f>
        <v/>
      </c>
      <c r="CI16" s="148" t="n"/>
      <c r="CJ16" s="148" t="n"/>
    </row>
    <row r="17" ht="15" customHeight="1" s="83">
      <c r="A17" s="148" t="n"/>
      <c r="B17" s="158" t="n">
        <v>13</v>
      </c>
      <c r="C17" s="152">
        <f>F17+J17+N17+R17+V17+Z17+AD17+AH17+AL17+AP17+AT17+AX17+BB17+BF17+BJ17+BN17+BR17+BV17+BZ17+CD17</f>
        <v/>
      </c>
      <c r="D17" s="152">
        <f>G16</f>
        <v/>
      </c>
      <c r="E17" s="159">
        <f>IF(D17&gt;0.005,D17*Debts!D8/12,0)</f>
        <v/>
      </c>
      <c r="F17" s="159" t="n">
        <v>0</v>
      </c>
      <c r="G17" s="152">
        <f>MAX(0,D17+E17-F17)</f>
        <v/>
      </c>
      <c r="H17" s="152">
        <f>K16</f>
        <v/>
      </c>
      <c r="I17" s="159">
        <f>IF(H17&gt;0.005,H17*Debts!D9/12,0)</f>
        <v/>
      </c>
      <c r="J17" s="159" t="n">
        <v>0</v>
      </c>
      <c r="K17" s="152">
        <f>MAX(0,H17+I17-J17)</f>
        <v/>
      </c>
      <c r="L17" s="152">
        <f>O16</f>
        <v/>
      </c>
      <c r="M17" s="159">
        <f>IF(L17&gt;0.005,L17*Debts!D10/12,0)</f>
        <v/>
      </c>
      <c r="N17" s="159" t="n">
        <v>0</v>
      </c>
      <c r="O17" s="152">
        <f>MAX(0,L17+M17-N17)</f>
        <v/>
      </c>
      <c r="P17" s="152">
        <f>S16</f>
        <v/>
      </c>
      <c r="Q17" s="159">
        <f>IF(P17&gt;0.005,P17*Debts!D11/12,0)</f>
        <v/>
      </c>
      <c r="R17" s="159" t="n">
        <v>0</v>
      </c>
      <c r="S17" s="152">
        <f>MAX(0,P17+Q17-R17)</f>
        <v/>
      </c>
      <c r="T17" s="152">
        <f>W16</f>
        <v/>
      </c>
      <c r="U17" s="159">
        <f>IF(T17&gt;0.005,T17*Debts!D12/12,0)</f>
        <v/>
      </c>
      <c r="V17" s="159" t="n">
        <v>0</v>
      </c>
      <c r="W17" s="152">
        <f>MAX(0,T17+U17-V17)</f>
        <v/>
      </c>
      <c r="X17" s="152">
        <f>AA16</f>
        <v/>
      </c>
      <c r="Y17" s="159">
        <f>IF(X17&gt;0.005,X17*Debts!D13/12,0)</f>
        <v/>
      </c>
      <c r="Z17" s="159" t="n">
        <v>0</v>
      </c>
      <c r="AA17" s="152">
        <f>MAX(0,X17+Y17-Z17)</f>
        <v/>
      </c>
      <c r="AB17" s="152">
        <f>AE16</f>
        <v/>
      </c>
      <c r="AC17" s="159">
        <f>IF(AB17&gt;0.005,AB17*Debts!D14/12,0)</f>
        <v/>
      </c>
      <c r="AD17" s="159" t="n">
        <v>0</v>
      </c>
      <c r="AE17" s="152">
        <f>MAX(0,AB17+AC17-AD17)</f>
        <v/>
      </c>
      <c r="AF17" s="152">
        <f>AI16</f>
        <v/>
      </c>
      <c r="AG17" s="159">
        <f>IF(AF17&gt;0.005,AF17*Debts!D15/12,0)</f>
        <v/>
      </c>
      <c r="AH17" s="159" t="n">
        <v>0</v>
      </c>
      <c r="AI17" s="152">
        <f>MAX(0,AF17+AG17-AH17)</f>
        <v/>
      </c>
      <c r="AJ17" s="152">
        <f>AM16</f>
        <v/>
      </c>
      <c r="AK17" s="159">
        <f>IF(AJ17&gt;0.005,AJ17*Debts!D16/12,0)</f>
        <v/>
      </c>
      <c r="AL17" s="159" t="n">
        <v>0</v>
      </c>
      <c r="AM17" s="152">
        <f>MAX(0,AJ17+AK17-AL17)</f>
        <v/>
      </c>
      <c r="AN17" s="152">
        <f>AQ16</f>
        <v/>
      </c>
      <c r="AO17" s="159">
        <f>IF(AN17&gt;0.005,AN17*Debts!D17/12,0)</f>
        <v/>
      </c>
      <c r="AP17" s="159" t="n">
        <v>0</v>
      </c>
      <c r="AQ17" s="152">
        <f>MAX(0,AN17+AO17-AP17)</f>
        <v/>
      </c>
      <c r="AR17" s="152">
        <f>AU16</f>
        <v/>
      </c>
      <c r="AS17" s="159">
        <f>IF(AR17&gt;0.005,AR17*Debts!D18/12,0)</f>
        <v/>
      </c>
      <c r="AT17" s="159" t="n">
        <v>0</v>
      </c>
      <c r="AU17" s="152">
        <f>MAX(0,AR17+AS17-AT17)</f>
        <v/>
      </c>
      <c r="AV17" s="152">
        <f>AY16</f>
        <v/>
      </c>
      <c r="AW17" s="159">
        <f>IF(AV17&gt;0.005,AV17*Debts!D19/12,0)</f>
        <v/>
      </c>
      <c r="AX17" s="159" t="n">
        <v>0</v>
      </c>
      <c r="AY17" s="152">
        <f>MAX(0,AV17+AW17-AX17)</f>
        <v/>
      </c>
      <c r="AZ17" s="152">
        <f>BC16</f>
        <v/>
      </c>
      <c r="BA17" s="159">
        <f>IF(AZ17&gt;0.005,AZ17*Debts!D20/12,0)</f>
        <v/>
      </c>
      <c r="BB17" s="159" t="n">
        <v>0</v>
      </c>
      <c r="BC17" s="152">
        <f>MAX(0,AZ17+BA17-BB17)</f>
        <v/>
      </c>
      <c r="BD17" s="152">
        <f>BG16</f>
        <v/>
      </c>
      <c r="BE17" s="159">
        <f>IF(BD17&gt;0.005,BD17*Debts!D21/12,0)</f>
        <v/>
      </c>
      <c r="BF17" s="159" t="n">
        <v>0</v>
      </c>
      <c r="BG17" s="152">
        <f>MAX(0,BD17+BE17-BF17)</f>
        <v/>
      </c>
      <c r="BH17" s="152">
        <f>BK16</f>
        <v/>
      </c>
      <c r="BI17" s="159">
        <f>IF(BH17&gt;0.005,BH17*Debts!D22/12,0)</f>
        <v/>
      </c>
      <c r="BJ17" s="159" t="n">
        <v>0</v>
      </c>
      <c r="BK17" s="152">
        <f>MAX(0,BH17+BI17-BJ17)</f>
        <v/>
      </c>
      <c r="BL17" s="152">
        <f>BO16</f>
        <v/>
      </c>
      <c r="BM17" s="159">
        <f>IF(BL17&gt;0.005,BL17*Debts!D23/12,0)</f>
        <v/>
      </c>
      <c r="BN17" s="159" t="n">
        <v>0</v>
      </c>
      <c r="BO17" s="152">
        <f>MAX(0,BL17+BM17-BN17)</f>
        <v/>
      </c>
      <c r="BP17" s="152">
        <f>BS16</f>
        <v/>
      </c>
      <c r="BQ17" s="159">
        <f>IF(BP17&gt;0.005,BP17*Debts!D24/12,0)</f>
        <v/>
      </c>
      <c r="BR17" s="159" t="n">
        <v>0</v>
      </c>
      <c r="BS17" s="152">
        <f>MAX(0,BP17+BQ17-BR17)</f>
        <v/>
      </c>
      <c r="BT17" s="152">
        <f>BW16</f>
        <v/>
      </c>
      <c r="BU17" s="159">
        <f>IF(BT17&gt;0.005,BT17*Debts!D25/12,0)</f>
        <v/>
      </c>
      <c r="BV17" s="159" t="n">
        <v>0</v>
      </c>
      <c r="BW17" s="152">
        <f>MAX(0,BT17+BU17-BV17)</f>
        <v/>
      </c>
      <c r="BX17" s="152">
        <f>CA16</f>
        <v/>
      </c>
      <c r="BY17" s="159">
        <f>IF(BX17&gt;0.005,BX17*Debts!D26/12,0)</f>
        <v/>
      </c>
      <c r="BZ17" s="159" t="n">
        <v>0</v>
      </c>
      <c r="CA17" s="152">
        <f>MAX(0,BX17+BY17-BZ17)</f>
        <v/>
      </c>
      <c r="CB17" s="152">
        <f>CE16</f>
        <v/>
      </c>
      <c r="CC17" s="159">
        <f>IF(CB17&gt;0.005,CB17*Debts!D27/12,0)</f>
        <v/>
      </c>
      <c r="CD17" s="159" t="n">
        <v>0</v>
      </c>
      <c r="CE17" s="152">
        <f>MAX(0,CB17+CC17-CD17)</f>
        <v/>
      </c>
      <c r="CF17" s="152">
        <f>G17+K17+O17+S17+W17+AA17+AE17+AI17+AM17+AQ17+AU17+AY17+BC17+BG17+BK17+BO17+BS17+BW17+CA17+CE17</f>
        <v/>
      </c>
      <c r="CG17" s="159">
        <f>E17+I17+M17+Q17+U17+Y17+AC17+AG17+AK17+AO17+AS17+AW17+BA17+BE17+BI17+BM17+BQ17+BU17+BY17+CC17</f>
        <v/>
      </c>
      <c r="CH17" s="152">
        <f>CH16+CG17</f>
        <v/>
      </c>
      <c r="CI17" s="148" t="n"/>
      <c r="CJ17" s="148" t="n"/>
    </row>
    <row r="18" ht="15" customHeight="1" s="83">
      <c r="A18" s="148" t="n"/>
      <c r="B18" s="158" t="n">
        <v>14</v>
      </c>
      <c r="C18" s="152">
        <f>F18+J18+N18+R18+V18+Z18+AD18+AH18+AL18+AP18+AT18+AX18+BB18+BF18+BJ18+BN18+BR18+BV18+BZ18+CD18</f>
        <v/>
      </c>
      <c r="D18" s="152">
        <f>G17</f>
        <v/>
      </c>
      <c r="E18" s="159">
        <f>IF(D18&gt;0.005,D18*Debts!D8/12,0)</f>
        <v/>
      </c>
      <c r="F18" s="159" t="n">
        <v>0</v>
      </c>
      <c r="G18" s="152">
        <f>MAX(0,D18+E18-F18)</f>
        <v/>
      </c>
      <c r="H18" s="152">
        <f>K17</f>
        <v/>
      </c>
      <c r="I18" s="159">
        <f>IF(H18&gt;0.005,H18*Debts!D9/12,0)</f>
        <v/>
      </c>
      <c r="J18" s="159" t="n">
        <v>0</v>
      </c>
      <c r="K18" s="152">
        <f>MAX(0,H18+I18-J18)</f>
        <v/>
      </c>
      <c r="L18" s="152">
        <f>O17</f>
        <v/>
      </c>
      <c r="M18" s="159">
        <f>IF(L18&gt;0.005,L18*Debts!D10/12,0)</f>
        <v/>
      </c>
      <c r="N18" s="159" t="n">
        <v>0</v>
      </c>
      <c r="O18" s="152">
        <f>MAX(0,L18+M18-N18)</f>
        <v/>
      </c>
      <c r="P18" s="152">
        <f>S17</f>
        <v/>
      </c>
      <c r="Q18" s="159">
        <f>IF(P18&gt;0.005,P18*Debts!D11/12,0)</f>
        <v/>
      </c>
      <c r="R18" s="159" t="n">
        <v>0</v>
      </c>
      <c r="S18" s="152">
        <f>MAX(0,P18+Q18-R18)</f>
        <v/>
      </c>
      <c r="T18" s="152">
        <f>W17</f>
        <v/>
      </c>
      <c r="U18" s="159">
        <f>IF(T18&gt;0.005,T18*Debts!D12/12,0)</f>
        <v/>
      </c>
      <c r="V18" s="159" t="n">
        <v>0</v>
      </c>
      <c r="W18" s="152">
        <f>MAX(0,T18+U18-V18)</f>
        <v/>
      </c>
      <c r="X18" s="152">
        <f>AA17</f>
        <v/>
      </c>
      <c r="Y18" s="159">
        <f>IF(X18&gt;0.005,X18*Debts!D13/12,0)</f>
        <v/>
      </c>
      <c r="Z18" s="159" t="n">
        <v>0</v>
      </c>
      <c r="AA18" s="152">
        <f>MAX(0,X18+Y18-Z18)</f>
        <v/>
      </c>
      <c r="AB18" s="152">
        <f>AE17</f>
        <v/>
      </c>
      <c r="AC18" s="159">
        <f>IF(AB18&gt;0.005,AB18*Debts!D14/12,0)</f>
        <v/>
      </c>
      <c r="AD18" s="159" t="n">
        <v>0</v>
      </c>
      <c r="AE18" s="152">
        <f>MAX(0,AB18+AC18-AD18)</f>
        <v/>
      </c>
      <c r="AF18" s="152">
        <f>AI17</f>
        <v/>
      </c>
      <c r="AG18" s="159">
        <f>IF(AF18&gt;0.005,AF18*Debts!D15/12,0)</f>
        <v/>
      </c>
      <c r="AH18" s="159" t="n">
        <v>0</v>
      </c>
      <c r="AI18" s="152">
        <f>MAX(0,AF18+AG18-AH18)</f>
        <v/>
      </c>
      <c r="AJ18" s="152">
        <f>AM17</f>
        <v/>
      </c>
      <c r="AK18" s="159">
        <f>IF(AJ18&gt;0.005,AJ18*Debts!D16/12,0)</f>
        <v/>
      </c>
      <c r="AL18" s="159" t="n">
        <v>0</v>
      </c>
      <c r="AM18" s="152">
        <f>MAX(0,AJ18+AK18-AL18)</f>
        <v/>
      </c>
      <c r="AN18" s="152">
        <f>AQ17</f>
        <v/>
      </c>
      <c r="AO18" s="159">
        <f>IF(AN18&gt;0.005,AN18*Debts!D17/12,0)</f>
        <v/>
      </c>
      <c r="AP18" s="159" t="n">
        <v>0</v>
      </c>
      <c r="AQ18" s="152">
        <f>MAX(0,AN18+AO18-AP18)</f>
        <v/>
      </c>
      <c r="AR18" s="152">
        <f>AU17</f>
        <v/>
      </c>
      <c r="AS18" s="159">
        <f>IF(AR18&gt;0.005,AR18*Debts!D18/12,0)</f>
        <v/>
      </c>
      <c r="AT18" s="159" t="n">
        <v>0</v>
      </c>
      <c r="AU18" s="152">
        <f>MAX(0,AR18+AS18-AT18)</f>
        <v/>
      </c>
      <c r="AV18" s="152">
        <f>AY17</f>
        <v/>
      </c>
      <c r="AW18" s="159">
        <f>IF(AV18&gt;0.005,AV18*Debts!D19/12,0)</f>
        <v/>
      </c>
      <c r="AX18" s="159" t="n">
        <v>0</v>
      </c>
      <c r="AY18" s="152">
        <f>MAX(0,AV18+AW18-AX18)</f>
        <v/>
      </c>
      <c r="AZ18" s="152">
        <f>BC17</f>
        <v/>
      </c>
      <c r="BA18" s="159">
        <f>IF(AZ18&gt;0.005,AZ18*Debts!D20/12,0)</f>
        <v/>
      </c>
      <c r="BB18" s="159" t="n">
        <v>0</v>
      </c>
      <c r="BC18" s="152">
        <f>MAX(0,AZ18+BA18-BB18)</f>
        <v/>
      </c>
      <c r="BD18" s="152">
        <f>BG17</f>
        <v/>
      </c>
      <c r="BE18" s="159">
        <f>IF(BD18&gt;0.005,BD18*Debts!D21/12,0)</f>
        <v/>
      </c>
      <c r="BF18" s="159" t="n">
        <v>0</v>
      </c>
      <c r="BG18" s="152">
        <f>MAX(0,BD18+BE18-BF18)</f>
        <v/>
      </c>
      <c r="BH18" s="152">
        <f>BK17</f>
        <v/>
      </c>
      <c r="BI18" s="159">
        <f>IF(BH18&gt;0.005,BH18*Debts!D22/12,0)</f>
        <v/>
      </c>
      <c r="BJ18" s="159" t="n">
        <v>0</v>
      </c>
      <c r="BK18" s="152">
        <f>MAX(0,BH18+BI18-BJ18)</f>
        <v/>
      </c>
      <c r="BL18" s="152">
        <f>BO17</f>
        <v/>
      </c>
      <c r="BM18" s="159">
        <f>IF(BL18&gt;0.005,BL18*Debts!D23/12,0)</f>
        <v/>
      </c>
      <c r="BN18" s="159" t="n">
        <v>0</v>
      </c>
      <c r="BO18" s="152">
        <f>MAX(0,BL18+BM18-BN18)</f>
        <v/>
      </c>
      <c r="BP18" s="152">
        <f>BS17</f>
        <v/>
      </c>
      <c r="BQ18" s="159">
        <f>IF(BP18&gt;0.005,BP18*Debts!D24/12,0)</f>
        <v/>
      </c>
      <c r="BR18" s="159" t="n">
        <v>0</v>
      </c>
      <c r="BS18" s="152">
        <f>MAX(0,BP18+BQ18-BR18)</f>
        <v/>
      </c>
      <c r="BT18" s="152">
        <f>BW17</f>
        <v/>
      </c>
      <c r="BU18" s="159">
        <f>IF(BT18&gt;0.005,BT18*Debts!D25/12,0)</f>
        <v/>
      </c>
      <c r="BV18" s="159" t="n">
        <v>0</v>
      </c>
      <c r="BW18" s="152">
        <f>MAX(0,BT18+BU18-BV18)</f>
        <v/>
      </c>
      <c r="BX18" s="152">
        <f>CA17</f>
        <v/>
      </c>
      <c r="BY18" s="159">
        <f>IF(BX18&gt;0.005,BX18*Debts!D26/12,0)</f>
        <v/>
      </c>
      <c r="BZ18" s="159" t="n">
        <v>0</v>
      </c>
      <c r="CA18" s="152">
        <f>MAX(0,BX18+BY18-BZ18)</f>
        <v/>
      </c>
      <c r="CB18" s="152">
        <f>CE17</f>
        <v/>
      </c>
      <c r="CC18" s="159">
        <f>IF(CB18&gt;0.005,CB18*Debts!D27/12,0)</f>
        <v/>
      </c>
      <c r="CD18" s="159" t="n">
        <v>0</v>
      </c>
      <c r="CE18" s="152">
        <f>MAX(0,CB18+CC18-CD18)</f>
        <v/>
      </c>
      <c r="CF18" s="152">
        <f>G18+K18+O18+S18+W18+AA18+AE18+AI18+AM18+AQ18+AU18+AY18+BC18+BG18+BK18+BO18+BS18+BW18+CA18+CE18</f>
        <v/>
      </c>
      <c r="CG18" s="159">
        <f>E18+I18+M18+Q18+U18+Y18+AC18+AG18+AK18+AO18+AS18+AW18+BA18+BE18+BI18+BM18+BQ18+BU18+BY18+CC18</f>
        <v/>
      </c>
      <c r="CH18" s="152">
        <f>CH17+CG18</f>
        <v/>
      </c>
      <c r="CI18" s="148" t="n"/>
      <c r="CJ18" s="148" t="n"/>
    </row>
    <row r="19" ht="15" customHeight="1" s="83">
      <c r="A19" s="148" t="n"/>
      <c r="B19" s="158" t="n">
        <v>15</v>
      </c>
      <c r="C19" s="152">
        <f>F19+J19+N19+R19+V19+Z19+AD19+AH19+AL19+AP19+AT19+AX19+BB19+BF19+BJ19+BN19+BR19+BV19+BZ19+CD19</f>
        <v/>
      </c>
      <c r="D19" s="152">
        <f>G18</f>
        <v/>
      </c>
      <c r="E19" s="159">
        <f>IF(D19&gt;0.005,D19*Debts!D8/12,0)</f>
        <v/>
      </c>
      <c r="F19" s="159" t="n">
        <v>0</v>
      </c>
      <c r="G19" s="152">
        <f>MAX(0,D19+E19-F19)</f>
        <v/>
      </c>
      <c r="H19" s="152">
        <f>K18</f>
        <v/>
      </c>
      <c r="I19" s="159">
        <f>IF(H19&gt;0.005,H19*Debts!D9/12,0)</f>
        <v/>
      </c>
      <c r="J19" s="159" t="n">
        <v>0</v>
      </c>
      <c r="K19" s="152">
        <f>MAX(0,H19+I19-J19)</f>
        <v/>
      </c>
      <c r="L19" s="152">
        <f>O18</f>
        <v/>
      </c>
      <c r="M19" s="159">
        <f>IF(L19&gt;0.005,L19*Debts!D10/12,0)</f>
        <v/>
      </c>
      <c r="N19" s="159" t="n">
        <v>0</v>
      </c>
      <c r="O19" s="152">
        <f>MAX(0,L19+M19-N19)</f>
        <v/>
      </c>
      <c r="P19" s="152">
        <f>S18</f>
        <v/>
      </c>
      <c r="Q19" s="159">
        <f>IF(P19&gt;0.005,P19*Debts!D11/12,0)</f>
        <v/>
      </c>
      <c r="R19" s="159" t="n">
        <v>0</v>
      </c>
      <c r="S19" s="152">
        <f>MAX(0,P19+Q19-R19)</f>
        <v/>
      </c>
      <c r="T19" s="152">
        <f>W18</f>
        <v/>
      </c>
      <c r="U19" s="159">
        <f>IF(T19&gt;0.005,T19*Debts!D12/12,0)</f>
        <v/>
      </c>
      <c r="V19" s="159" t="n">
        <v>0</v>
      </c>
      <c r="W19" s="152">
        <f>MAX(0,T19+U19-V19)</f>
        <v/>
      </c>
      <c r="X19" s="152">
        <f>AA18</f>
        <v/>
      </c>
      <c r="Y19" s="159">
        <f>IF(X19&gt;0.005,X19*Debts!D13/12,0)</f>
        <v/>
      </c>
      <c r="Z19" s="159" t="n">
        <v>0</v>
      </c>
      <c r="AA19" s="152">
        <f>MAX(0,X19+Y19-Z19)</f>
        <v/>
      </c>
      <c r="AB19" s="152">
        <f>AE18</f>
        <v/>
      </c>
      <c r="AC19" s="159">
        <f>IF(AB19&gt;0.005,AB19*Debts!D14/12,0)</f>
        <v/>
      </c>
      <c r="AD19" s="159" t="n">
        <v>0</v>
      </c>
      <c r="AE19" s="152">
        <f>MAX(0,AB19+AC19-AD19)</f>
        <v/>
      </c>
      <c r="AF19" s="152">
        <f>AI18</f>
        <v/>
      </c>
      <c r="AG19" s="159">
        <f>IF(AF19&gt;0.005,AF19*Debts!D15/12,0)</f>
        <v/>
      </c>
      <c r="AH19" s="159" t="n">
        <v>0</v>
      </c>
      <c r="AI19" s="152">
        <f>MAX(0,AF19+AG19-AH19)</f>
        <v/>
      </c>
      <c r="AJ19" s="152">
        <f>AM18</f>
        <v/>
      </c>
      <c r="AK19" s="159">
        <f>IF(AJ19&gt;0.005,AJ19*Debts!D16/12,0)</f>
        <v/>
      </c>
      <c r="AL19" s="159" t="n">
        <v>0</v>
      </c>
      <c r="AM19" s="152">
        <f>MAX(0,AJ19+AK19-AL19)</f>
        <v/>
      </c>
      <c r="AN19" s="152">
        <f>AQ18</f>
        <v/>
      </c>
      <c r="AO19" s="159">
        <f>IF(AN19&gt;0.005,AN19*Debts!D17/12,0)</f>
        <v/>
      </c>
      <c r="AP19" s="159" t="n">
        <v>0</v>
      </c>
      <c r="AQ19" s="152">
        <f>MAX(0,AN19+AO19-AP19)</f>
        <v/>
      </c>
      <c r="AR19" s="152">
        <f>AU18</f>
        <v/>
      </c>
      <c r="AS19" s="159">
        <f>IF(AR19&gt;0.005,AR19*Debts!D18/12,0)</f>
        <v/>
      </c>
      <c r="AT19" s="159" t="n">
        <v>0</v>
      </c>
      <c r="AU19" s="152">
        <f>MAX(0,AR19+AS19-AT19)</f>
        <v/>
      </c>
      <c r="AV19" s="152">
        <f>AY18</f>
        <v/>
      </c>
      <c r="AW19" s="159">
        <f>IF(AV19&gt;0.005,AV19*Debts!D19/12,0)</f>
        <v/>
      </c>
      <c r="AX19" s="159" t="n">
        <v>0</v>
      </c>
      <c r="AY19" s="152">
        <f>MAX(0,AV19+AW19-AX19)</f>
        <v/>
      </c>
      <c r="AZ19" s="152">
        <f>BC18</f>
        <v/>
      </c>
      <c r="BA19" s="159">
        <f>IF(AZ19&gt;0.005,AZ19*Debts!D20/12,0)</f>
        <v/>
      </c>
      <c r="BB19" s="159" t="n">
        <v>0</v>
      </c>
      <c r="BC19" s="152">
        <f>MAX(0,AZ19+BA19-BB19)</f>
        <v/>
      </c>
      <c r="BD19" s="152">
        <f>BG18</f>
        <v/>
      </c>
      <c r="BE19" s="159">
        <f>IF(BD19&gt;0.005,BD19*Debts!D21/12,0)</f>
        <v/>
      </c>
      <c r="BF19" s="159" t="n">
        <v>0</v>
      </c>
      <c r="BG19" s="152">
        <f>MAX(0,BD19+BE19-BF19)</f>
        <v/>
      </c>
      <c r="BH19" s="152">
        <f>BK18</f>
        <v/>
      </c>
      <c r="BI19" s="159">
        <f>IF(BH19&gt;0.005,BH19*Debts!D22/12,0)</f>
        <v/>
      </c>
      <c r="BJ19" s="159" t="n">
        <v>0</v>
      </c>
      <c r="BK19" s="152">
        <f>MAX(0,BH19+BI19-BJ19)</f>
        <v/>
      </c>
      <c r="BL19" s="152">
        <f>BO18</f>
        <v/>
      </c>
      <c r="BM19" s="159">
        <f>IF(BL19&gt;0.005,BL19*Debts!D23/12,0)</f>
        <v/>
      </c>
      <c r="BN19" s="159" t="n">
        <v>0</v>
      </c>
      <c r="BO19" s="152">
        <f>MAX(0,BL19+BM19-BN19)</f>
        <v/>
      </c>
      <c r="BP19" s="152">
        <f>BS18</f>
        <v/>
      </c>
      <c r="BQ19" s="159">
        <f>IF(BP19&gt;0.005,BP19*Debts!D24/12,0)</f>
        <v/>
      </c>
      <c r="BR19" s="159" t="n">
        <v>0</v>
      </c>
      <c r="BS19" s="152">
        <f>MAX(0,BP19+BQ19-BR19)</f>
        <v/>
      </c>
      <c r="BT19" s="152">
        <f>BW18</f>
        <v/>
      </c>
      <c r="BU19" s="159">
        <f>IF(BT19&gt;0.005,BT19*Debts!D25/12,0)</f>
        <v/>
      </c>
      <c r="BV19" s="159" t="n">
        <v>0</v>
      </c>
      <c r="BW19" s="152">
        <f>MAX(0,BT19+BU19-BV19)</f>
        <v/>
      </c>
      <c r="BX19" s="152">
        <f>CA18</f>
        <v/>
      </c>
      <c r="BY19" s="159">
        <f>IF(BX19&gt;0.005,BX19*Debts!D26/12,0)</f>
        <v/>
      </c>
      <c r="BZ19" s="159" t="n">
        <v>0</v>
      </c>
      <c r="CA19" s="152">
        <f>MAX(0,BX19+BY19-BZ19)</f>
        <v/>
      </c>
      <c r="CB19" s="152">
        <f>CE18</f>
        <v/>
      </c>
      <c r="CC19" s="159">
        <f>IF(CB19&gt;0.005,CB19*Debts!D27/12,0)</f>
        <v/>
      </c>
      <c r="CD19" s="159" t="n">
        <v>0</v>
      </c>
      <c r="CE19" s="152">
        <f>MAX(0,CB19+CC19-CD19)</f>
        <v/>
      </c>
      <c r="CF19" s="152">
        <f>G19+K19+O19+S19+W19+AA19+AE19+AI19+AM19+AQ19+AU19+AY19+BC19+BG19+BK19+BO19+BS19+BW19+CA19+CE19</f>
        <v/>
      </c>
      <c r="CG19" s="159">
        <f>E19+I19+M19+Q19+U19+Y19+AC19+AG19+AK19+AO19+AS19+AW19+BA19+BE19+BI19+BM19+BQ19+BU19+BY19+CC19</f>
        <v/>
      </c>
      <c r="CH19" s="152">
        <f>CH18+CG19</f>
        <v/>
      </c>
      <c r="CI19" s="148" t="n"/>
      <c r="CJ19" s="148" t="n"/>
    </row>
    <row r="20" ht="15" customHeight="1" s="83">
      <c r="A20" s="148" t="n"/>
      <c r="B20" s="158" t="n">
        <v>16</v>
      </c>
      <c r="C20" s="152">
        <f>F20+J20+N20+R20+V20+Z20+AD20+AH20+AL20+AP20+AT20+AX20+BB20+BF20+BJ20+BN20+BR20+BV20+BZ20+CD20</f>
        <v/>
      </c>
      <c r="D20" s="152">
        <f>G19</f>
        <v/>
      </c>
      <c r="E20" s="159">
        <f>IF(D20&gt;0.005,D20*Debts!D8/12,0)</f>
        <v/>
      </c>
      <c r="F20" s="159" t="n">
        <v>0</v>
      </c>
      <c r="G20" s="152">
        <f>MAX(0,D20+E20-F20)</f>
        <v/>
      </c>
      <c r="H20" s="152">
        <f>K19</f>
        <v/>
      </c>
      <c r="I20" s="159">
        <f>IF(H20&gt;0.005,H20*Debts!D9/12,0)</f>
        <v/>
      </c>
      <c r="J20" s="159" t="n">
        <v>0</v>
      </c>
      <c r="K20" s="152">
        <f>MAX(0,H20+I20-J20)</f>
        <v/>
      </c>
      <c r="L20" s="152">
        <f>O19</f>
        <v/>
      </c>
      <c r="M20" s="159">
        <f>IF(L20&gt;0.005,L20*Debts!D10/12,0)</f>
        <v/>
      </c>
      <c r="N20" s="159" t="n">
        <v>0</v>
      </c>
      <c r="O20" s="152">
        <f>MAX(0,L20+M20-N20)</f>
        <v/>
      </c>
      <c r="P20" s="152">
        <f>S19</f>
        <v/>
      </c>
      <c r="Q20" s="159">
        <f>IF(P20&gt;0.005,P20*Debts!D11/12,0)</f>
        <v/>
      </c>
      <c r="R20" s="159" t="n">
        <v>0</v>
      </c>
      <c r="S20" s="152">
        <f>MAX(0,P20+Q20-R20)</f>
        <v/>
      </c>
      <c r="T20" s="152">
        <f>W19</f>
        <v/>
      </c>
      <c r="U20" s="159">
        <f>IF(T20&gt;0.005,T20*Debts!D12/12,0)</f>
        <v/>
      </c>
      <c r="V20" s="159" t="n">
        <v>0</v>
      </c>
      <c r="W20" s="152">
        <f>MAX(0,T20+U20-V20)</f>
        <v/>
      </c>
      <c r="X20" s="152">
        <f>AA19</f>
        <v/>
      </c>
      <c r="Y20" s="159">
        <f>IF(X20&gt;0.005,X20*Debts!D13/12,0)</f>
        <v/>
      </c>
      <c r="Z20" s="159" t="n">
        <v>0</v>
      </c>
      <c r="AA20" s="152">
        <f>MAX(0,X20+Y20-Z20)</f>
        <v/>
      </c>
      <c r="AB20" s="152">
        <f>AE19</f>
        <v/>
      </c>
      <c r="AC20" s="159">
        <f>IF(AB20&gt;0.005,AB20*Debts!D14/12,0)</f>
        <v/>
      </c>
      <c r="AD20" s="159" t="n">
        <v>0</v>
      </c>
      <c r="AE20" s="152">
        <f>MAX(0,AB20+AC20-AD20)</f>
        <v/>
      </c>
      <c r="AF20" s="152">
        <f>AI19</f>
        <v/>
      </c>
      <c r="AG20" s="159">
        <f>IF(AF20&gt;0.005,AF20*Debts!D15/12,0)</f>
        <v/>
      </c>
      <c r="AH20" s="159" t="n">
        <v>0</v>
      </c>
      <c r="AI20" s="152">
        <f>MAX(0,AF20+AG20-AH20)</f>
        <v/>
      </c>
      <c r="AJ20" s="152">
        <f>AM19</f>
        <v/>
      </c>
      <c r="AK20" s="159">
        <f>IF(AJ20&gt;0.005,AJ20*Debts!D16/12,0)</f>
        <v/>
      </c>
      <c r="AL20" s="159" t="n">
        <v>0</v>
      </c>
      <c r="AM20" s="152">
        <f>MAX(0,AJ20+AK20-AL20)</f>
        <v/>
      </c>
      <c r="AN20" s="152">
        <f>AQ19</f>
        <v/>
      </c>
      <c r="AO20" s="159">
        <f>IF(AN20&gt;0.005,AN20*Debts!D17/12,0)</f>
        <v/>
      </c>
      <c r="AP20" s="159" t="n">
        <v>0</v>
      </c>
      <c r="AQ20" s="152">
        <f>MAX(0,AN20+AO20-AP20)</f>
        <v/>
      </c>
      <c r="AR20" s="152">
        <f>AU19</f>
        <v/>
      </c>
      <c r="AS20" s="159">
        <f>IF(AR20&gt;0.005,AR20*Debts!D18/12,0)</f>
        <v/>
      </c>
      <c r="AT20" s="159" t="n">
        <v>0</v>
      </c>
      <c r="AU20" s="152">
        <f>MAX(0,AR20+AS20-AT20)</f>
        <v/>
      </c>
      <c r="AV20" s="152">
        <f>AY19</f>
        <v/>
      </c>
      <c r="AW20" s="159">
        <f>IF(AV20&gt;0.005,AV20*Debts!D19/12,0)</f>
        <v/>
      </c>
      <c r="AX20" s="159" t="n">
        <v>0</v>
      </c>
      <c r="AY20" s="152">
        <f>MAX(0,AV20+AW20-AX20)</f>
        <v/>
      </c>
      <c r="AZ20" s="152">
        <f>BC19</f>
        <v/>
      </c>
      <c r="BA20" s="159">
        <f>IF(AZ20&gt;0.005,AZ20*Debts!D20/12,0)</f>
        <v/>
      </c>
      <c r="BB20" s="159" t="n">
        <v>0</v>
      </c>
      <c r="BC20" s="152">
        <f>MAX(0,AZ20+BA20-BB20)</f>
        <v/>
      </c>
      <c r="BD20" s="152">
        <f>BG19</f>
        <v/>
      </c>
      <c r="BE20" s="159">
        <f>IF(BD20&gt;0.005,BD20*Debts!D21/12,0)</f>
        <v/>
      </c>
      <c r="BF20" s="159" t="n">
        <v>0</v>
      </c>
      <c r="BG20" s="152">
        <f>MAX(0,BD20+BE20-BF20)</f>
        <v/>
      </c>
      <c r="BH20" s="152">
        <f>BK19</f>
        <v/>
      </c>
      <c r="BI20" s="159">
        <f>IF(BH20&gt;0.005,BH20*Debts!D22/12,0)</f>
        <v/>
      </c>
      <c r="BJ20" s="159" t="n">
        <v>0</v>
      </c>
      <c r="BK20" s="152">
        <f>MAX(0,BH20+BI20-BJ20)</f>
        <v/>
      </c>
      <c r="BL20" s="152">
        <f>BO19</f>
        <v/>
      </c>
      <c r="BM20" s="159">
        <f>IF(BL20&gt;0.005,BL20*Debts!D23/12,0)</f>
        <v/>
      </c>
      <c r="BN20" s="159" t="n">
        <v>0</v>
      </c>
      <c r="BO20" s="152">
        <f>MAX(0,BL20+BM20-BN20)</f>
        <v/>
      </c>
      <c r="BP20" s="152">
        <f>BS19</f>
        <v/>
      </c>
      <c r="BQ20" s="159">
        <f>IF(BP20&gt;0.005,BP20*Debts!D24/12,0)</f>
        <v/>
      </c>
      <c r="BR20" s="159" t="n">
        <v>0</v>
      </c>
      <c r="BS20" s="152">
        <f>MAX(0,BP20+BQ20-BR20)</f>
        <v/>
      </c>
      <c r="BT20" s="152">
        <f>BW19</f>
        <v/>
      </c>
      <c r="BU20" s="159">
        <f>IF(BT20&gt;0.005,BT20*Debts!D25/12,0)</f>
        <v/>
      </c>
      <c r="BV20" s="159" t="n">
        <v>0</v>
      </c>
      <c r="BW20" s="152">
        <f>MAX(0,BT20+BU20-BV20)</f>
        <v/>
      </c>
      <c r="BX20" s="152">
        <f>CA19</f>
        <v/>
      </c>
      <c r="BY20" s="159">
        <f>IF(BX20&gt;0.005,BX20*Debts!D26/12,0)</f>
        <v/>
      </c>
      <c r="BZ20" s="159" t="n">
        <v>0</v>
      </c>
      <c r="CA20" s="152">
        <f>MAX(0,BX20+BY20-BZ20)</f>
        <v/>
      </c>
      <c r="CB20" s="152">
        <f>CE19</f>
        <v/>
      </c>
      <c r="CC20" s="159">
        <f>IF(CB20&gt;0.005,CB20*Debts!D27/12,0)</f>
        <v/>
      </c>
      <c r="CD20" s="159" t="n">
        <v>0</v>
      </c>
      <c r="CE20" s="152">
        <f>MAX(0,CB20+CC20-CD20)</f>
        <v/>
      </c>
      <c r="CF20" s="152">
        <f>G20+K20+O20+S20+W20+AA20+AE20+AI20+AM20+AQ20+AU20+AY20+BC20+BG20+BK20+BO20+BS20+BW20+CA20+CE20</f>
        <v/>
      </c>
      <c r="CG20" s="159">
        <f>E20+I20+M20+Q20+U20+Y20+AC20+AG20+AK20+AO20+AS20+AW20+BA20+BE20+BI20+BM20+BQ20+BU20+BY20+CC20</f>
        <v/>
      </c>
      <c r="CH20" s="152">
        <f>CH19+CG20</f>
        <v/>
      </c>
      <c r="CI20" s="148" t="n"/>
      <c r="CJ20" s="148" t="n"/>
    </row>
    <row r="21" ht="15" customHeight="1" s="83">
      <c r="A21" s="148" t="n"/>
      <c r="B21" s="158" t="n">
        <v>17</v>
      </c>
      <c r="C21" s="152">
        <f>F21+J21+N21+R21+V21+Z21+AD21+AH21+AL21+AP21+AT21+AX21+BB21+BF21+BJ21+BN21+BR21+BV21+BZ21+CD21</f>
        <v/>
      </c>
      <c r="D21" s="152">
        <f>G20</f>
        <v/>
      </c>
      <c r="E21" s="159">
        <f>IF(D21&gt;0.005,D21*Debts!D8/12,0)</f>
        <v/>
      </c>
      <c r="F21" s="159" t="n">
        <v>0</v>
      </c>
      <c r="G21" s="152">
        <f>MAX(0,D21+E21-F21)</f>
        <v/>
      </c>
      <c r="H21" s="152">
        <f>K20</f>
        <v/>
      </c>
      <c r="I21" s="159">
        <f>IF(H21&gt;0.005,H21*Debts!D9/12,0)</f>
        <v/>
      </c>
      <c r="J21" s="159" t="n">
        <v>0</v>
      </c>
      <c r="K21" s="152">
        <f>MAX(0,H21+I21-J21)</f>
        <v/>
      </c>
      <c r="L21" s="152">
        <f>O20</f>
        <v/>
      </c>
      <c r="M21" s="159">
        <f>IF(L21&gt;0.005,L21*Debts!D10/12,0)</f>
        <v/>
      </c>
      <c r="N21" s="159" t="n">
        <v>0</v>
      </c>
      <c r="O21" s="152">
        <f>MAX(0,L21+M21-N21)</f>
        <v/>
      </c>
      <c r="P21" s="152">
        <f>S20</f>
        <v/>
      </c>
      <c r="Q21" s="159">
        <f>IF(P21&gt;0.005,P21*Debts!D11/12,0)</f>
        <v/>
      </c>
      <c r="R21" s="159" t="n">
        <v>0</v>
      </c>
      <c r="S21" s="152">
        <f>MAX(0,P21+Q21-R21)</f>
        <v/>
      </c>
      <c r="T21" s="152">
        <f>W20</f>
        <v/>
      </c>
      <c r="U21" s="159">
        <f>IF(T21&gt;0.005,T21*Debts!D12/12,0)</f>
        <v/>
      </c>
      <c r="V21" s="159" t="n">
        <v>0</v>
      </c>
      <c r="W21" s="152">
        <f>MAX(0,T21+U21-V21)</f>
        <v/>
      </c>
      <c r="X21" s="152">
        <f>AA20</f>
        <v/>
      </c>
      <c r="Y21" s="159">
        <f>IF(X21&gt;0.005,X21*Debts!D13/12,0)</f>
        <v/>
      </c>
      <c r="Z21" s="159" t="n">
        <v>0</v>
      </c>
      <c r="AA21" s="152">
        <f>MAX(0,X21+Y21-Z21)</f>
        <v/>
      </c>
      <c r="AB21" s="152">
        <f>AE20</f>
        <v/>
      </c>
      <c r="AC21" s="159">
        <f>IF(AB21&gt;0.005,AB21*Debts!D14/12,0)</f>
        <v/>
      </c>
      <c r="AD21" s="159" t="n">
        <v>0</v>
      </c>
      <c r="AE21" s="152">
        <f>MAX(0,AB21+AC21-AD21)</f>
        <v/>
      </c>
      <c r="AF21" s="152">
        <f>AI20</f>
        <v/>
      </c>
      <c r="AG21" s="159">
        <f>IF(AF21&gt;0.005,AF21*Debts!D15/12,0)</f>
        <v/>
      </c>
      <c r="AH21" s="159" t="n">
        <v>0</v>
      </c>
      <c r="AI21" s="152">
        <f>MAX(0,AF21+AG21-AH21)</f>
        <v/>
      </c>
      <c r="AJ21" s="152">
        <f>AM20</f>
        <v/>
      </c>
      <c r="AK21" s="159">
        <f>IF(AJ21&gt;0.005,AJ21*Debts!D16/12,0)</f>
        <v/>
      </c>
      <c r="AL21" s="159" t="n">
        <v>0</v>
      </c>
      <c r="AM21" s="152">
        <f>MAX(0,AJ21+AK21-AL21)</f>
        <v/>
      </c>
      <c r="AN21" s="152">
        <f>AQ20</f>
        <v/>
      </c>
      <c r="AO21" s="159">
        <f>IF(AN21&gt;0.005,AN21*Debts!D17/12,0)</f>
        <v/>
      </c>
      <c r="AP21" s="159" t="n">
        <v>0</v>
      </c>
      <c r="AQ21" s="152">
        <f>MAX(0,AN21+AO21-AP21)</f>
        <v/>
      </c>
      <c r="AR21" s="152">
        <f>AU20</f>
        <v/>
      </c>
      <c r="AS21" s="159">
        <f>IF(AR21&gt;0.005,AR21*Debts!D18/12,0)</f>
        <v/>
      </c>
      <c r="AT21" s="159" t="n">
        <v>0</v>
      </c>
      <c r="AU21" s="152">
        <f>MAX(0,AR21+AS21-AT21)</f>
        <v/>
      </c>
      <c r="AV21" s="152">
        <f>AY20</f>
        <v/>
      </c>
      <c r="AW21" s="159">
        <f>IF(AV21&gt;0.005,AV21*Debts!D19/12,0)</f>
        <v/>
      </c>
      <c r="AX21" s="159" t="n">
        <v>0</v>
      </c>
      <c r="AY21" s="152">
        <f>MAX(0,AV21+AW21-AX21)</f>
        <v/>
      </c>
      <c r="AZ21" s="152">
        <f>BC20</f>
        <v/>
      </c>
      <c r="BA21" s="159">
        <f>IF(AZ21&gt;0.005,AZ21*Debts!D20/12,0)</f>
        <v/>
      </c>
      <c r="BB21" s="159" t="n">
        <v>0</v>
      </c>
      <c r="BC21" s="152">
        <f>MAX(0,AZ21+BA21-BB21)</f>
        <v/>
      </c>
      <c r="BD21" s="152">
        <f>BG20</f>
        <v/>
      </c>
      <c r="BE21" s="159">
        <f>IF(BD21&gt;0.005,BD21*Debts!D21/12,0)</f>
        <v/>
      </c>
      <c r="BF21" s="159" t="n">
        <v>0</v>
      </c>
      <c r="BG21" s="152">
        <f>MAX(0,BD21+BE21-BF21)</f>
        <v/>
      </c>
      <c r="BH21" s="152">
        <f>BK20</f>
        <v/>
      </c>
      <c r="BI21" s="159">
        <f>IF(BH21&gt;0.005,BH21*Debts!D22/12,0)</f>
        <v/>
      </c>
      <c r="BJ21" s="159" t="n">
        <v>0</v>
      </c>
      <c r="BK21" s="152">
        <f>MAX(0,BH21+BI21-BJ21)</f>
        <v/>
      </c>
      <c r="BL21" s="152">
        <f>BO20</f>
        <v/>
      </c>
      <c r="BM21" s="159">
        <f>IF(BL21&gt;0.005,BL21*Debts!D23/12,0)</f>
        <v/>
      </c>
      <c r="BN21" s="159" t="n">
        <v>0</v>
      </c>
      <c r="BO21" s="152">
        <f>MAX(0,BL21+BM21-BN21)</f>
        <v/>
      </c>
      <c r="BP21" s="152">
        <f>BS20</f>
        <v/>
      </c>
      <c r="BQ21" s="159">
        <f>IF(BP21&gt;0.005,BP21*Debts!D24/12,0)</f>
        <v/>
      </c>
      <c r="BR21" s="159" t="n">
        <v>0</v>
      </c>
      <c r="BS21" s="152">
        <f>MAX(0,BP21+BQ21-BR21)</f>
        <v/>
      </c>
      <c r="BT21" s="152">
        <f>BW20</f>
        <v/>
      </c>
      <c r="BU21" s="159">
        <f>IF(BT21&gt;0.005,BT21*Debts!D25/12,0)</f>
        <v/>
      </c>
      <c r="BV21" s="159" t="n">
        <v>0</v>
      </c>
      <c r="BW21" s="152">
        <f>MAX(0,BT21+BU21-BV21)</f>
        <v/>
      </c>
      <c r="BX21" s="152">
        <f>CA20</f>
        <v/>
      </c>
      <c r="BY21" s="159">
        <f>IF(BX21&gt;0.005,BX21*Debts!D26/12,0)</f>
        <v/>
      </c>
      <c r="BZ21" s="159" t="n">
        <v>0</v>
      </c>
      <c r="CA21" s="152">
        <f>MAX(0,BX21+BY21-BZ21)</f>
        <v/>
      </c>
      <c r="CB21" s="152">
        <f>CE20</f>
        <v/>
      </c>
      <c r="CC21" s="159">
        <f>IF(CB21&gt;0.005,CB21*Debts!D27/12,0)</f>
        <v/>
      </c>
      <c r="CD21" s="159" t="n">
        <v>0</v>
      </c>
      <c r="CE21" s="152">
        <f>MAX(0,CB21+CC21-CD21)</f>
        <v/>
      </c>
      <c r="CF21" s="152">
        <f>G21+K21+O21+S21+W21+AA21+AE21+AI21+AM21+AQ21+AU21+AY21+BC21+BG21+BK21+BO21+BS21+BW21+CA21+CE21</f>
        <v/>
      </c>
      <c r="CG21" s="159">
        <f>E21+I21+M21+Q21+U21+Y21+AC21+AG21+AK21+AO21+AS21+AW21+BA21+BE21+BI21+BM21+BQ21+BU21+BY21+CC21</f>
        <v/>
      </c>
      <c r="CH21" s="152">
        <f>CH20+CG21</f>
        <v/>
      </c>
      <c r="CI21" s="148" t="n"/>
      <c r="CJ21" s="148" t="n"/>
    </row>
    <row r="22" ht="15" customHeight="1" s="83">
      <c r="A22" s="148" t="n"/>
      <c r="B22" s="158" t="n">
        <v>18</v>
      </c>
      <c r="C22" s="152">
        <f>F22+J22+N22+R22+V22+Z22+AD22+AH22+AL22+AP22+AT22+AX22+BB22+BF22+BJ22+BN22+BR22+BV22+BZ22+CD22</f>
        <v/>
      </c>
      <c r="D22" s="152">
        <f>G21</f>
        <v/>
      </c>
      <c r="E22" s="159">
        <f>IF(D22&gt;0.005,D22*Debts!D8/12,0)</f>
        <v/>
      </c>
      <c r="F22" s="159" t="n">
        <v>0</v>
      </c>
      <c r="G22" s="152">
        <f>MAX(0,D22+E22-F22)</f>
        <v/>
      </c>
      <c r="H22" s="152">
        <f>K21</f>
        <v/>
      </c>
      <c r="I22" s="159">
        <f>IF(H22&gt;0.005,H22*Debts!D9/12,0)</f>
        <v/>
      </c>
      <c r="J22" s="159" t="n">
        <v>0</v>
      </c>
      <c r="K22" s="152">
        <f>MAX(0,H22+I22-J22)</f>
        <v/>
      </c>
      <c r="L22" s="152">
        <f>O21</f>
        <v/>
      </c>
      <c r="M22" s="159">
        <f>IF(L22&gt;0.005,L22*Debts!D10/12,0)</f>
        <v/>
      </c>
      <c r="N22" s="159" t="n">
        <v>0</v>
      </c>
      <c r="O22" s="152">
        <f>MAX(0,L22+M22-N22)</f>
        <v/>
      </c>
      <c r="P22" s="152">
        <f>S21</f>
        <v/>
      </c>
      <c r="Q22" s="159">
        <f>IF(P22&gt;0.005,P22*Debts!D11/12,0)</f>
        <v/>
      </c>
      <c r="R22" s="159" t="n">
        <v>0</v>
      </c>
      <c r="S22" s="152">
        <f>MAX(0,P22+Q22-R22)</f>
        <v/>
      </c>
      <c r="T22" s="152">
        <f>W21</f>
        <v/>
      </c>
      <c r="U22" s="159">
        <f>IF(T22&gt;0.005,T22*Debts!D12/12,0)</f>
        <v/>
      </c>
      <c r="V22" s="159" t="n">
        <v>0</v>
      </c>
      <c r="W22" s="152">
        <f>MAX(0,T22+U22-V22)</f>
        <v/>
      </c>
      <c r="X22" s="152">
        <f>AA21</f>
        <v/>
      </c>
      <c r="Y22" s="159">
        <f>IF(X22&gt;0.005,X22*Debts!D13/12,0)</f>
        <v/>
      </c>
      <c r="Z22" s="159" t="n">
        <v>0</v>
      </c>
      <c r="AA22" s="152">
        <f>MAX(0,X22+Y22-Z22)</f>
        <v/>
      </c>
      <c r="AB22" s="152">
        <f>AE21</f>
        <v/>
      </c>
      <c r="AC22" s="159">
        <f>IF(AB22&gt;0.005,AB22*Debts!D14/12,0)</f>
        <v/>
      </c>
      <c r="AD22" s="159" t="n">
        <v>0</v>
      </c>
      <c r="AE22" s="152">
        <f>MAX(0,AB22+AC22-AD22)</f>
        <v/>
      </c>
      <c r="AF22" s="152">
        <f>AI21</f>
        <v/>
      </c>
      <c r="AG22" s="159">
        <f>IF(AF22&gt;0.005,AF22*Debts!D15/12,0)</f>
        <v/>
      </c>
      <c r="AH22" s="159" t="n">
        <v>0</v>
      </c>
      <c r="AI22" s="152">
        <f>MAX(0,AF22+AG22-AH22)</f>
        <v/>
      </c>
      <c r="AJ22" s="152">
        <f>AM21</f>
        <v/>
      </c>
      <c r="AK22" s="159">
        <f>IF(AJ22&gt;0.005,AJ22*Debts!D16/12,0)</f>
        <v/>
      </c>
      <c r="AL22" s="159" t="n">
        <v>0</v>
      </c>
      <c r="AM22" s="152">
        <f>MAX(0,AJ22+AK22-AL22)</f>
        <v/>
      </c>
      <c r="AN22" s="152">
        <f>AQ21</f>
        <v/>
      </c>
      <c r="AO22" s="159">
        <f>IF(AN22&gt;0.005,AN22*Debts!D17/12,0)</f>
        <v/>
      </c>
      <c r="AP22" s="159" t="n">
        <v>0</v>
      </c>
      <c r="AQ22" s="152">
        <f>MAX(0,AN22+AO22-AP22)</f>
        <v/>
      </c>
      <c r="AR22" s="152">
        <f>AU21</f>
        <v/>
      </c>
      <c r="AS22" s="159">
        <f>IF(AR22&gt;0.005,AR22*Debts!D18/12,0)</f>
        <v/>
      </c>
      <c r="AT22" s="159" t="n">
        <v>0</v>
      </c>
      <c r="AU22" s="152">
        <f>MAX(0,AR22+AS22-AT22)</f>
        <v/>
      </c>
      <c r="AV22" s="152">
        <f>AY21</f>
        <v/>
      </c>
      <c r="AW22" s="159">
        <f>IF(AV22&gt;0.005,AV22*Debts!D19/12,0)</f>
        <v/>
      </c>
      <c r="AX22" s="159" t="n">
        <v>0</v>
      </c>
      <c r="AY22" s="152">
        <f>MAX(0,AV22+AW22-AX22)</f>
        <v/>
      </c>
      <c r="AZ22" s="152">
        <f>BC21</f>
        <v/>
      </c>
      <c r="BA22" s="159">
        <f>IF(AZ22&gt;0.005,AZ22*Debts!D20/12,0)</f>
        <v/>
      </c>
      <c r="BB22" s="159" t="n">
        <v>0</v>
      </c>
      <c r="BC22" s="152">
        <f>MAX(0,AZ22+BA22-BB22)</f>
        <v/>
      </c>
      <c r="BD22" s="152">
        <f>BG21</f>
        <v/>
      </c>
      <c r="BE22" s="159">
        <f>IF(BD22&gt;0.005,BD22*Debts!D21/12,0)</f>
        <v/>
      </c>
      <c r="BF22" s="159" t="n">
        <v>0</v>
      </c>
      <c r="BG22" s="152">
        <f>MAX(0,BD22+BE22-BF22)</f>
        <v/>
      </c>
      <c r="BH22" s="152">
        <f>BK21</f>
        <v/>
      </c>
      <c r="BI22" s="159">
        <f>IF(BH22&gt;0.005,BH22*Debts!D22/12,0)</f>
        <v/>
      </c>
      <c r="BJ22" s="159" t="n">
        <v>0</v>
      </c>
      <c r="BK22" s="152">
        <f>MAX(0,BH22+BI22-BJ22)</f>
        <v/>
      </c>
      <c r="BL22" s="152">
        <f>BO21</f>
        <v/>
      </c>
      <c r="BM22" s="159">
        <f>IF(BL22&gt;0.005,BL22*Debts!D23/12,0)</f>
        <v/>
      </c>
      <c r="BN22" s="159" t="n">
        <v>0</v>
      </c>
      <c r="BO22" s="152">
        <f>MAX(0,BL22+BM22-BN22)</f>
        <v/>
      </c>
      <c r="BP22" s="152">
        <f>BS21</f>
        <v/>
      </c>
      <c r="BQ22" s="159">
        <f>IF(BP22&gt;0.005,BP22*Debts!D24/12,0)</f>
        <v/>
      </c>
      <c r="BR22" s="159" t="n">
        <v>0</v>
      </c>
      <c r="BS22" s="152">
        <f>MAX(0,BP22+BQ22-BR22)</f>
        <v/>
      </c>
      <c r="BT22" s="152">
        <f>BW21</f>
        <v/>
      </c>
      <c r="BU22" s="159">
        <f>IF(BT22&gt;0.005,BT22*Debts!D25/12,0)</f>
        <v/>
      </c>
      <c r="BV22" s="159" t="n">
        <v>0</v>
      </c>
      <c r="BW22" s="152">
        <f>MAX(0,BT22+BU22-BV22)</f>
        <v/>
      </c>
      <c r="BX22" s="152">
        <f>CA21</f>
        <v/>
      </c>
      <c r="BY22" s="159">
        <f>IF(BX22&gt;0.005,BX22*Debts!D26/12,0)</f>
        <v/>
      </c>
      <c r="BZ22" s="159" t="n">
        <v>0</v>
      </c>
      <c r="CA22" s="152">
        <f>MAX(0,BX22+BY22-BZ22)</f>
        <v/>
      </c>
      <c r="CB22" s="152">
        <f>CE21</f>
        <v/>
      </c>
      <c r="CC22" s="159">
        <f>IF(CB22&gt;0.005,CB22*Debts!D27/12,0)</f>
        <v/>
      </c>
      <c r="CD22" s="159" t="n">
        <v>0</v>
      </c>
      <c r="CE22" s="152">
        <f>MAX(0,CB22+CC22-CD22)</f>
        <v/>
      </c>
      <c r="CF22" s="152">
        <f>G22+K22+O22+S22+W22+AA22+AE22+AI22+AM22+AQ22+AU22+AY22+BC22+BG22+BK22+BO22+BS22+BW22+CA22+CE22</f>
        <v/>
      </c>
      <c r="CG22" s="159">
        <f>E22+I22+M22+Q22+U22+Y22+AC22+AG22+AK22+AO22+AS22+AW22+BA22+BE22+BI22+BM22+BQ22+BU22+BY22+CC22</f>
        <v/>
      </c>
      <c r="CH22" s="152">
        <f>CH21+CG22</f>
        <v/>
      </c>
      <c r="CI22" s="148" t="n"/>
      <c r="CJ22" s="148" t="n"/>
    </row>
    <row r="23" ht="15" customHeight="1" s="83">
      <c r="A23" s="148" t="n"/>
      <c r="B23" s="158" t="n">
        <v>19</v>
      </c>
      <c r="C23" s="152">
        <f>F23+J23+N23+R23+V23+Z23+AD23+AH23+AL23+AP23+AT23+AX23+BB23+BF23+BJ23+BN23+BR23+BV23+BZ23+CD23</f>
        <v/>
      </c>
      <c r="D23" s="152">
        <f>G22</f>
        <v/>
      </c>
      <c r="E23" s="159">
        <f>IF(D23&gt;0.005,D23*Debts!D8/12,0)</f>
        <v/>
      </c>
      <c r="F23" s="159" t="n">
        <v>0</v>
      </c>
      <c r="G23" s="152">
        <f>MAX(0,D23+E23-F23)</f>
        <v/>
      </c>
      <c r="H23" s="152">
        <f>K22</f>
        <v/>
      </c>
      <c r="I23" s="159">
        <f>IF(H23&gt;0.005,H23*Debts!D9/12,0)</f>
        <v/>
      </c>
      <c r="J23" s="159" t="n">
        <v>0</v>
      </c>
      <c r="K23" s="152">
        <f>MAX(0,H23+I23-J23)</f>
        <v/>
      </c>
      <c r="L23" s="152">
        <f>O22</f>
        <v/>
      </c>
      <c r="M23" s="159">
        <f>IF(L23&gt;0.005,L23*Debts!D10/12,0)</f>
        <v/>
      </c>
      <c r="N23" s="159" t="n">
        <v>0</v>
      </c>
      <c r="O23" s="152">
        <f>MAX(0,L23+M23-N23)</f>
        <v/>
      </c>
      <c r="P23" s="152">
        <f>S22</f>
        <v/>
      </c>
      <c r="Q23" s="159">
        <f>IF(P23&gt;0.005,P23*Debts!D11/12,0)</f>
        <v/>
      </c>
      <c r="R23" s="159" t="n">
        <v>0</v>
      </c>
      <c r="S23" s="152">
        <f>MAX(0,P23+Q23-R23)</f>
        <v/>
      </c>
      <c r="T23" s="152">
        <f>W22</f>
        <v/>
      </c>
      <c r="U23" s="159">
        <f>IF(T23&gt;0.005,T23*Debts!D12/12,0)</f>
        <v/>
      </c>
      <c r="V23" s="159" t="n">
        <v>0</v>
      </c>
      <c r="W23" s="152">
        <f>MAX(0,T23+U23-V23)</f>
        <v/>
      </c>
      <c r="X23" s="152">
        <f>AA22</f>
        <v/>
      </c>
      <c r="Y23" s="159">
        <f>IF(X23&gt;0.005,X23*Debts!D13/12,0)</f>
        <v/>
      </c>
      <c r="Z23" s="159" t="n">
        <v>0</v>
      </c>
      <c r="AA23" s="152">
        <f>MAX(0,X23+Y23-Z23)</f>
        <v/>
      </c>
      <c r="AB23" s="152">
        <f>AE22</f>
        <v/>
      </c>
      <c r="AC23" s="159">
        <f>IF(AB23&gt;0.005,AB23*Debts!D14/12,0)</f>
        <v/>
      </c>
      <c r="AD23" s="159" t="n">
        <v>0</v>
      </c>
      <c r="AE23" s="152">
        <f>MAX(0,AB23+AC23-AD23)</f>
        <v/>
      </c>
      <c r="AF23" s="152">
        <f>AI22</f>
        <v/>
      </c>
      <c r="AG23" s="159">
        <f>IF(AF23&gt;0.005,AF23*Debts!D15/12,0)</f>
        <v/>
      </c>
      <c r="AH23" s="159" t="n">
        <v>0</v>
      </c>
      <c r="AI23" s="152">
        <f>MAX(0,AF23+AG23-AH23)</f>
        <v/>
      </c>
      <c r="AJ23" s="152">
        <f>AM22</f>
        <v/>
      </c>
      <c r="AK23" s="159">
        <f>IF(AJ23&gt;0.005,AJ23*Debts!D16/12,0)</f>
        <v/>
      </c>
      <c r="AL23" s="159" t="n">
        <v>0</v>
      </c>
      <c r="AM23" s="152">
        <f>MAX(0,AJ23+AK23-AL23)</f>
        <v/>
      </c>
      <c r="AN23" s="152">
        <f>AQ22</f>
        <v/>
      </c>
      <c r="AO23" s="159">
        <f>IF(AN23&gt;0.005,AN23*Debts!D17/12,0)</f>
        <v/>
      </c>
      <c r="AP23" s="159" t="n">
        <v>0</v>
      </c>
      <c r="AQ23" s="152">
        <f>MAX(0,AN23+AO23-AP23)</f>
        <v/>
      </c>
      <c r="AR23" s="152">
        <f>AU22</f>
        <v/>
      </c>
      <c r="AS23" s="159">
        <f>IF(AR23&gt;0.005,AR23*Debts!D18/12,0)</f>
        <v/>
      </c>
      <c r="AT23" s="159" t="n">
        <v>0</v>
      </c>
      <c r="AU23" s="152">
        <f>MAX(0,AR23+AS23-AT23)</f>
        <v/>
      </c>
      <c r="AV23" s="152">
        <f>AY22</f>
        <v/>
      </c>
      <c r="AW23" s="159">
        <f>IF(AV23&gt;0.005,AV23*Debts!D19/12,0)</f>
        <v/>
      </c>
      <c r="AX23" s="159" t="n">
        <v>0</v>
      </c>
      <c r="AY23" s="152">
        <f>MAX(0,AV23+AW23-AX23)</f>
        <v/>
      </c>
      <c r="AZ23" s="152">
        <f>BC22</f>
        <v/>
      </c>
      <c r="BA23" s="159">
        <f>IF(AZ23&gt;0.005,AZ23*Debts!D20/12,0)</f>
        <v/>
      </c>
      <c r="BB23" s="159" t="n">
        <v>0</v>
      </c>
      <c r="BC23" s="152">
        <f>MAX(0,AZ23+BA23-BB23)</f>
        <v/>
      </c>
      <c r="BD23" s="152">
        <f>BG22</f>
        <v/>
      </c>
      <c r="BE23" s="159">
        <f>IF(BD23&gt;0.005,BD23*Debts!D21/12,0)</f>
        <v/>
      </c>
      <c r="BF23" s="159" t="n">
        <v>0</v>
      </c>
      <c r="BG23" s="152">
        <f>MAX(0,BD23+BE23-BF23)</f>
        <v/>
      </c>
      <c r="BH23" s="152">
        <f>BK22</f>
        <v/>
      </c>
      <c r="BI23" s="159">
        <f>IF(BH23&gt;0.005,BH23*Debts!D22/12,0)</f>
        <v/>
      </c>
      <c r="BJ23" s="159" t="n">
        <v>0</v>
      </c>
      <c r="BK23" s="152">
        <f>MAX(0,BH23+BI23-BJ23)</f>
        <v/>
      </c>
      <c r="BL23" s="152">
        <f>BO22</f>
        <v/>
      </c>
      <c r="BM23" s="159">
        <f>IF(BL23&gt;0.005,BL23*Debts!D23/12,0)</f>
        <v/>
      </c>
      <c r="BN23" s="159" t="n">
        <v>0</v>
      </c>
      <c r="BO23" s="152">
        <f>MAX(0,BL23+BM23-BN23)</f>
        <v/>
      </c>
      <c r="BP23" s="152">
        <f>BS22</f>
        <v/>
      </c>
      <c r="BQ23" s="159">
        <f>IF(BP23&gt;0.005,BP23*Debts!D24/12,0)</f>
        <v/>
      </c>
      <c r="BR23" s="159" t="n">
        <v>0</v>
      </c>
      <c r="BS23" s="152">
        <f>MAX(0,BP23+BQ23-BR23)</f>
        <v/>
      </c>
      <c r="BT23" s="152">
        <f>BW22</f>
        <v/>
      </c>
      <c r="BU23" s="159">
        <f>IF(BT23&gt;0.005,BT23*Debts!D25/12,0)</f>
        <v/>
      </c>
      <c r="BV23" s="159" t="n">
        <v>0</v>
      </c>
      <c r="BW23" s="152">
        <f>MAX(0,BT23+BU23-BV23)</f>
        <v/>
      </c>
      <c r="BX23" s="152">
        <f>CA22</f>
        <v/>
      </c>
      <c r="BY23" s="159">
        <f>IF(BX23&gt;0.005,BX23*Debts!D26/12,0)</f>
        <v/>
      </c>
      <c r="BZ23" s="159" t="n">
        <v>0</v>
      </c>
      <c r="CA23" s="152">
        <f>MAX(0,BX23+BY23-BZ23)</f>
        <v/>
      </c>
      <c r="CB23" s="152">
        <f>CE22</f>
        <v/>
      </c>
      <c r="CC23" s="159">
        <f>IF(CB23&gt;0.005,CB23*Debts!D27/12,0)</f>
        <v/>
      </c>
      <c r="CD23" s="159" t="n">
        <v>0</v>
      </c>
      <c r="CE23" s="152">
        <f>MAX(0,CB23+CC23-CD23)</f>
        <v/>
      </c>
      <c r="CF23" s="152">
        <f>G23+K23+O23+S23+W23+AA23+AE23+AI23+AM23+AQ23+AU23+AY23+BC23+BG23+BK23+BO23+BS23+BW23+CA23+CE23</f>
        <v/>
      </c>
      <c r="CG23" s="159">
        <f>E23+I23+M23+Q23+U23+Y23+AC23+AG23+AK23+AO23+AS23+AW23+BA23+BE23+BI23+BM23+BQ23+BU23+BY23+CC23</f>
        <v/>
      </c>
      <c r="CH23" s="152">
        <f>CH22+CG23</f>
        <v/>
      </c>
      <c r="CI23" s="148" t="n"/>
      <c r="CJ23" s="148" t="n"/>
    </row>
    <row r="24" ht="15" customHeight="1" s="83">
      <c r="A24" s="148" t="n"/>
      <c r="B24" s="158" t="n">
        <v>20</v>
      </c>
      <c r="C24" s="152">
        <f>F24+J24+N24+R24+V24+Z24+AD24+AH24+AL24+AP24+AT24+AX24+BB24+BF24+BJ24+BN24+BR24+BV24+BZ24+CD24</f>
        <v/>
      </c>
      <c r="D24" s="152">
        <f>G23</f>
        <v/>
      </c>
      <c r="E24" s="159">
        <f>IF(D24&gt;0.005,D24*Debts!D8/12,0)</f>
        <v/>
      </c>
      <c r="F24" s="159" t="n">
        <v>0</v>
      </c>
      <c r="G24" s="152">
        <f>MAX(0,D24+E24-F24)</f>
        <v/>
      </c>
      <c r="H24" s="152">
        <f>K23</f>
        <v/>
      </c>
      <c r="I24" s="159">
        <f>IF(H24&gt;0.005,H24*Debts!D9/12,0)</f>
        <v/>
      </c>
      <c r="J24" s="159" t="n">
        <v>0</v>
      </c>
      <c r="K24" s="152">
        <f>MAX(0,H24+I24-J24)</f>
        <v/>
      </c>
      <c r="L24" s="152">
        <f>O23</f>
        <v/>
      </c>
      <c r="M24" s="159">
        <f>IF(L24&gt;0.005,L24*Debts!D10/12,0)</f>
        <v/>
      </c>
      <c r="N24" s="159" t="n">
        <v>0</v>
      </c>
      <c r="O24" s="152">
        <f>MAX(0,L24+M24-N24)</f>
        <v/>
      </c>
      <c r="P24" s="152">
        <f>S23</f>
        <v/>
      </c>
      <c r="Q24" s="159">
        <f>IF(P24&gt;0.005,P24*Debts!D11/12,0)</f>
        <v/>
      </c>
      <c r="R24" s="159" t="n">
        <v>0</v>
      </c>
      <c r="S24" s="152">
        <f>MAX(0,P24+Q24-R24)</f>
        <v/>
      </c>
      <c r="T24" s="152">
        <f>W23</f>
        <v/>
      </c>
      <c r="U24" s="159">
        <f>IF(T24&gt;0.005,T24*Debts!D12/12,0)</f>
        <v/>
      </c>
      <c r="V24" s="159" t="n">
        <v>0</v>
      </c>
      <c r="W24" s="152">
        <f>MAX(0,T24+U24-V24)</f>
        <v/>
      </c>
      <c r="X24" s="152">
        <f>AA23</f>
        <v/>
      </c>
      <c r="Y24" s="159">
        <f>IF(X24&gt;0.005,X24*Debts!D13/12,0)</f>
        <v/>
      </c>
      <c r="Z24" s="159" t="n">
        <v>0</v>
      </c>
      <c r="AA24" s="152">
        <f>MAX(0,X24+Y24-Z24)</f>
        <v/>
      </c>
      <c r="AB24" s="152">
        <f>AE23</f>
        <v/>
      </c>
      <c r="AC24" s="159">
        <f>IF(AB24&gt;0.005,AB24*Debts!D14/12,0)</f>
        <v/>
      </c>
      <c r="AD24" s="159" t="n">
        <v>0</v>
      </c>
      <c r="AE24" s="152">
        <f>MAX(0,AB24+AC24-AD24)</f>
        <v/>
      </c>
      <c r="AF24" s="152">
        <f>AI23</f>
        <v/>
      </c>
      <c r="AG24" s="159">
        <f>IF(AF24&gt;0.005,AF24*Debts!D15/12,0)</f>
        <v/>
      </c>
      <c r="AH24" s="159" t="n">
        <v>0</v>
      </c>
      <c r="AI24" s="152">
        <f>MAX(0,AF24+AG24-AH24)</f>
        <v/>
      </c>
      <c r="AJ24" s="152">
        <f>AM23</f>
        <v/>
      </c>
      <c r="AK24" s="159">
        <f>IF(AJ24&gt;0.005,AJ24*Debts!D16/12,0)</f>
        <v/>
      </c>
      <c r="AL24" s="159" t="n">
        <v>0</v>
      </c>
      <c r="AM24" s="152">
        <f>MAX(0,AJ24+AK24-AL24)</f>
        <v/>
      </c>
      <c r="AN24" s="152">
        <f>AQ23</f>
        <v/>
      </c>
      <c r="AO24" s="159">
        <f>IF(AN24&gt;0.005,AN24*Debts!D17/12,0)</f>
        <v/>
      </c>
      <c r="AP24" s="159" t="n">
        <v>0</v>
      </c>
      <c r="AQ24" s="152">
        <f>MAX(0,AN24+AO24-AP24)</f>
        <v/>
      </c>
      <c r="AR24" s="152">
        <f>AU23</f>
        <v/>
      </c>
      <c r="AS24" s="159">
        <f>IF(AR24&gt;0.005,AR24*Debts!D18/12,0)</f>
        <v/>
      </c>
      <c r="AT24" s="159" t="n">
        <v>0</v>
      </c>
      <c r="AU24" s="152">
        <f>MAX(0,AR24+AS24-AT24)</f>
        <v/>
      </c>
      <c r="AV24" s="152">
        <f>AY23</f>
        <v/>
      </c>
      <c r="AW24" s="159">
        <f>IF(AV24&gt;0.005,AV24*Debts!D19/12,0)</f>
        <v/>
      </c>
      <c r="AX24" s="159" t="n">
        <v>0</v>
      </c>
      <c r="AY24" s="152">
        <f>MAX(0,AV24+AW24-AX24)</f>
        <v/>
      </c>
      <c r="AZ24" s="152">
        <f>BC23</f>
        <v/>
      </c>
      <c r="BA24" s="159">
        <f>IF(AZ24&gt;0.005,AZ24*Debts!D20/12,0)</f>
        <v/>
      </c>
      <c r="BB24" s="159" t="n">
        <v>0</v>
      </c>
      <c r="BC24" s="152">
        <f>MAX(0,AZ24+BA24-BB24)</f>
        <v/>
      </c>
      <c r="BD24" s="152">
        <f>BG23</f>
        <v/>
      </c>
      <c r="BE24" s="159">
        <f>IF(BD24&gt;0.005,BD24*Debts!D21/12,0)</f>
        <v/>
      </c>
      <c r="BF24" s="159" t="n">
        <v>0</v>
      </c>
      <c r="BG24" s="152">
        <f>MAX(0,BD24+BE24-BF24)</f>
        <v/>
      </c>
      <c r="BH24" s="152">
        <f>BK23</f>
        <v/>
      </c>
      <c r="BI24" s="159">
        <f>IF(BH24&gt;0.005,BH24*Debts!D22/12,0)</f>
        <v/>
      </c>
      <c r="BJ24" s="159" t="n">
        <v>0</v>
      </c>
      <c r="BK24" s="152">
        <f>MAX(0,BH24+BI24-BJ24)</f>
        <v/>
      </c>
      <c r="BL24" s="152">
        <f>BO23</f>
        <v/>
      </c>
      <c r="BM24" s="159">
        <f>IF(BL24&gt;0.005,BL24*Debts!D23/12,0)</f>
        <v/>
      </c>
      <c r="BN24" s="159" t="n">
        <v>0</v>
      </c>
      <c r="BO24" s="152">
        <f>MAX(0,BL24+BM24-BN24)</f>
        <v/>
      </c>
      <c r="BP24" s="152">
        <f>BS23</f>
        <v/>
      </c>
      <c r="BQ24" s="159">
        <f>IF(BP24&gt;0.005,BP24*Debts!D24/12,0)</f>
        <v/>
      </c>
      <c r="BR24" s="159" t="n">
        <v>0</v>
      </c>
      <c r="BS24" s="152">
        <f>MAX(0,BP24+BQ24-BR24)</f>
        <v/>
      </c>
      <c r="BT24" s="152">
        <f>BW23</f>
        <v/>
      </c>
      <c r="BU24" s="159">
        <f>IF(BT24&gt;0.005,BT24*Debts!D25/12,0)</f>
        <v/>
      </c>
      <c r="BV24" s="159" t="n">
        <v>0</v>
      </c>
      <c r="BW24" s="152">
        <f>MAX(0,BT24+BU24-BV24)</f>
        <v/>
      </c>
      <c r="BX24" s="152">
        <f>CA23</f>
        <v/>
      </c>
      <c r="BY24" s="159">
        <f>IF(BX24&gt;0.005,BX24*Debts!D26/12,0)</f>
        <v/>
      </c>
      <c r="BZ24" s="159" t="n">
        <v>0</v>
      </c>
      <c r="CA24" s="152">
        <f>MAX(0,BX24+BY24-BZ24)</f>
        <v/>
      </c>
      <c r="CB24" s="152">
        <f>CE23</f>
        <v/>
      </c>
      <c r="CC24" s="159">
        <f>IF(CB24&gt;0.005,CB24*Debts!D27/12,0)</f>
        <v/>
      </c>
      <c r="CD24" s="159" t="n">
        <v>0</v>
      </c>
      <c r="CE24" s="152">
        <f>MAX(0,CB24+CC24-CD24)</f>
        <v/>
      </c>
      <c r="CF24" s="152">
        <f>G24+K24+O24+S24+W24+AA24+AE24+AI24+AM24+AQ24+AU24+AY24+BC24+BG24+BK24+BO24+BS24+BW24+CA24+CE24</f>
        <v/>
      </c>
      <c r="CG24" s="159">
        <f>E24+I24+M24+Q24+U24+Y24+AC24+AG24+AK24+AO24+AS24+AW24+BA24+BE24+BI24+BM24+BQ24+BU24+BY24+CC24</f>
        <v/>
      </c>
      <c r="CH24" s="152">
        <f>CH23+CG24</f>
        <v/>
      </c>
      <c r="CI24" s="148" t="n"/>
      <c r="CJ24" s="148" t="n"/>
    </row>
    <row r="25" ht="15" customHeight="1" s="83">
      <c r="A25" s="148" t="n"/>
      <c r="B25" s="158" t="n">
        <v>21</v>
      </c>
      <c r="C25" s="152">
        <f>F25+J25+N25+R25+V25+Z25+AD25+AH25+AL25+AP25+AT25+AX25+BB25+BF25+BJ25+BN25+BR25+BV25+BZ25+CD25</f>
        <v/>
      </c>
      <c r="D25" s="152">
        <f>G24</f>
        <v/>
      </c>
      <c r="E25" s="159">
        <f>IF(D25&gt;0.005,D25*Debts!D8/12,0)</f>
        <v/>
      </c>
      <c r="F25" s="159" t="n">
        <v>0</v>
      </c>
      <c r="G25" s="152">
        <f>MAX(0,D25+E25-F25)</f>
        <v/>
      </c>
      <c r="H25" s="152">
        <f>K24</f>
        <v/>
      </c>
      <c r="I25" s="159">
        <f>IF(H25&gt;0.005,H25*Debts!D9/12,0)</f>
        <v/>
      </c>
      <c r="J25" s="159" t="n">
        <v>0</v>
      </c>
      <c r="K25" s="152">
        <f>MAX(0,H25+I25-J25)</f>
        <v/>
      </c>
      <c r="L25" s="152">
        <f>O24</f>
        <v/>
      </c>
      <c r="M25" s="159">
        <f>IF(L25&gt;0.005,L25*Debts!D10/12,0)</f>
        <v/>
      </c>
      <c r="N25" s="159" t="n">
        <v>0</v>
      </c>
      <c r="O25" s="152">
        <f>MAX(0,L25+M25-N25)</f>
        <v/>
      </c>
      <c r="P25" s="152">
        <f>S24</f>
        <v/>
      </c>
      <c r="Q25" s="159">
        <f>IF(P25&gt;0.005,P25*Debts!D11/12,0)</f>
        <v/>
      </c>
      <c r="R25" s="159" t="n">
        <v>0</v>
      </c>
      <c r="S25" s="152">
        <f>MAX(0,P25+Q25-R25)</f>
        <v/>
      </c>
      <c r="T25" s="152">
        <f>W24</f>
        <v/>
      </c>
      <c r="U25" s="159">
        <f>IF(T25&gt;0.005,T25*Debts!D12/12,0)</f>
        <v/>
      </c>
      <c r="V25" s="159" t="n">
        <v>0</v>
      </c>
      <c r="W25" s="152">
        <f>MAX(0,T25+U25-V25)</f>
        <v/>
      </c>
      <c r="X25" s="152">
        <f>AA24</f>
        <v/>
      </c>
      <c r="Y25" s="159">
        <f>IF(X25&gt;0.005,X25*Debts!D13/12,0)</f>
        <v/>
      </c>
      <c r="Z25" s="159" t="n">
        <v>0</v>
      </c>
      <c r="AA25" s="152">
        <f>MAX(0,X25+Y25-Z25)</f>
        <v/>
      </c>
      <c r="AB25" s="152">
        <f>AE24</f>
        <v/>
      </c>
      <c r="AC25" s="159">
        <f>IF(AB25&gt;0.005,AB25*Debts!D14/12,0)</f>
        <v/>
      </c>
      <c r="AD25" s="159" t="n">
        <v>0</v>
      </c>
      <c r="AE25" s="152">
        <f>MAX(0,AB25+AC25-AD25)</f>
        <v/>
      </c>
      <c r="AF25" s="152">
        <f>AI24</f>
        <v/>
      </c>
      <c r="AG25" s="159">
        <f>IF(AF25&gt;0.005,AF25*Debts!D15/12,0)</f>
        <v/>
      </c>
      <c r="AH25" s="159" t="n">
        <v>0</v>
      </c>
      <c r="AI25" s="152">
        <f>MAX(0,AF25+AG25-AH25)</f>
        <v/>
      </c>
      <c r="AJ25" s="152">
        <f>AM24</f>
        <v/>
      </c>
      <c r="AK25" s="159">
        <f>IF(AJ25&gt;0.005,AJ25*Debts!D16/12,0)</f>
        <v/>
      </c>
      <c r="AL25" s="159" t="n">
        <v>0</v>
      </c>
      <c r="AM25" s="152">
        <f>MAX(0,AJ25+AK25-AL25)</f>
        <v/>
      </c>
      <c r="AN25" s="152">
        <f>AQ24</f>
        <v/>
      </c>
      <c r="AO25" s="159">
        <f>IF(AN25&gt;0.005,AN25*Debts!D17/12,0)</f>
        <v/>
      </c>
      <c r="AP25" s="159" t="n">
        <v>0</v>
      </c>
      <c r="AQ25" s="152">
        <f>MAX(0,AN25+AO25-AP25)</f>
        <v/>
      </c>
      <c r="AR25" s="152">
        <f>AU24</f>
        <v/>
      </c>
      <c r="AS25" s="159">
        <f>IF(AR25&gt;0.005,AR25*Debts!D18/12,0)</f>
        <v/>
      </c>
      <c r="AT25" s="159" t="n">
        <v>0</v>
      </c>
      <c r="AU25" s="152">
        <f>MAX(0,AR25+AS25-AT25)</f>
        <v/>
      </c>
      <c r="AV25" s="152">
        <f>AY24</f>
        <v/>
      </c>
      <c r="AW25" s="159">
        <f>IF(AV25&gt;0.005,AV25*Debts!D19/12,0)</f>
        <v/>
      </c>
      <c r="AX25" s="159" t="n">
        <v>0</v>
      </c>
      <c r="AY25" s="152">
        <f>MAX(0,AV25+AW25-AX25)</f>
        <v/>
      </c>
      <c r="AZ25" s="152">
        <f>BC24</f>
        <v/>
      </c>
      <c r="BA25" s="159">
        <f>IF(AZ25&gt;0.005,AZ25*Debts!D20/12,0)</f>
        <v/>
      </c>
      <c r="BB25" s="159" t="n">
        <v>0</v>
      </c>
      <c r="BC25" s="152">
        <f>MAX(0,AZ25+BA25-BB25)</f>
        <v/>
      </c>
      <c r="BD25" s="152">
        <f>BG24</f>
        <v/>
      </c>
      <c r="BE25" s="159">
        <f>IF(BD25&gt;0.005,BD25*Debts!D21/12,0)</f>
        <v/>
      </c>
      <c r="BF25" s="159" t="n">
        <v>0</v>
      </c>
      <c r="BG25" s="152">
        <f>MAX(0,BD25+BE25-BF25)</f>
        <v/>
      </c>
      <c r="BH25" s="152">
        <f>BK24</f>
        <v/>
      </c>
      <c r="BI25" s="159">
        <f>IF(BH25&gt;0.005,BH25*Debts!D22/12,0)</f>
        <v/>
      </c>
      <c r="BJ25" s="159" t="n">
        <v>0</v>
      </c>
      <c r="BK25" s="152">
        <f>MAX(0,BH25+BI25-BJ25)</f>
        <v/>
      </c>
      <c r="BL25" s="152">
        <f>BO24</f>
        <v/>
      </c>
      <c r="BM25" s="159">
        <f>IF(BL25&gt;0.005,BL25*Debts!D23/12,0)</f>
        <v/>
      </c>
      <c r="BN25" s="159" t="n">
        <v>0</v>
      </c>
      <c r="BO25" s="152">
        <f>MAX(0,BL25+BM25-BN25)</f>
        <v/>
      </c>
      <c r="BP25" s="152">
        <f>BS24</f>
        <v/>
      </c>
      <c r="BQ25" s="159">
        <f>IF(BP25&gt;0.005,BP25*Debts!D24/12,0)</f>
        <v/>
      </c>
      <c r="BR25" s="159" t="n">
        <v>0</v>
      </c>
      <c r="BS25" s="152">
        <f>MAX(0,BP25+BQ25-BR25)</f>
        <v/>
      </c>
      <c r="BT25" s="152">
        <f>BW24</f>
        <v/>
      </c>
      <c r="BU25" s="159">
        <f>IF(BT25&gt;0.005,BT25*Debts!D25/12,0)</f>
        <v/>
      </c>
      <c r="BV25" s="159" t="n">
        <v>0</v>
      </c>
      <c r="BW25" s="152">
        <f>MAX(0,BT25+BU25-BV25)</f>
        <v/>
      </c>
      <c r="BX25" s="152">
        <f>CA24</f>
        <v/>
      </c>
      <c r="BY25" s="159">
        <f>IF(BX25&gt;0.005,BX25*Debts!D26/12,0)</f>
        <v/>
      </c>
      <c r="BZ25" s="159" t="n">
        <v>0</v>
      </c>
      <c r="CA25" s="152">
        <f>MAX(0,BX25+BY25-BZ25)</f>
        <v/>
      </c>
      <c r="CB25" s="152">
        <f>CE24</f>
        <v/>
      </c>
      <c r="CC25" s="159">
        <f>IF(CB25&gt;0.005,CB25*Debts!D27/12,0)</f>
        <v/>
      </c>
      <c r="CD25" s="159" t="n">
        <v>0</v>
      </c>
      <c r="CE25" s="152">
        <f>MAX(0,CB25+CC25-CD25)</f>
        <v/>
      </c>
      <c r="CF25" s="152">
        <f>G25+K25+O25+S25+W25+AA25+AE25+AI25+AM25+AQ25+AU25+AY25+BC25+BG25+BK25+BO25+BS25+BW25+CA25+CE25</f>
        <v/>
      </c>
      <c r="CG25" s="159">
        <f>E25+I25+M25+Q25+U25+Y25+AC25+AG25+AK25+AO25+AS25+AW25+BA25+BE25+BI25+BM25+BQ25+BU25+BY25+CC25</f>
        <v/>
      </c>
      <c r="CH25" s="152">
        <f>CH24+CG25</f>
        <v/>
      </c>
      <c r="CI25" s="148" t="n"/>
      <c r="CJ25" s="148" t="n"/>
    </row>
    <row r="26" ht="15" customHeight="1" s="83">
      <c r="A26" s="148" t="n"/>
      <c r="B26" s="158" t="n">
        <v>22</v>
      </c>
      <c r="C26" s="152">
        <f>F26+J26+N26+R26+V26+Z26+AD26+AH26+AL26+AP26+AT26+AX26+BB26+BF26+BJ26+BN26+BR26+BV26+BZ26+CD26</f>
        <v/>
      </c>
      <c r="D26" s="152">
        <f>G25</f>
        <v/>
      </c>
      <c r="E26" s="159">
        <f>IF(D26&gt;0.005,D26*Debts!D8/12,0)</f>
        <v/>
      </c>
      <c r="F26" s="159" t="n">
        <v>0</v>
      </c>
      <c r="G26" s="152">
        <f>MAX(0,D26+E26-F26)</f>
        <v/>
      </c>
      <c r="H26" s="152">
        <f>K25</f>
        <v/>
      </c>
      <c r="I26" s="159">
        <f>IF(H26&gt;0.005,H26*Debts!D9/12,0)</f>
        <v/>
      </c>
      <c r="J26" s="159" t="n">
        <v>0</v>
      </c>
      <c r="K26" s="152">
        <f>MAX(0,H26+I26-J26)</f>
        <v/>
      </c>
      <c r="L26" s="152">
        <f>O25</f>
        <v/>
      </c>
      <c r="M26" s="159">
        <f>IF(L26&gt;0.005,L26*Debts!D10/12,0)</f>
        <v/>
      </c>
      <c r="N26" s="159" t="n">
        <v>0</v>
      </c>
      <c r="O26" s="152">
        <f>MAX(0,L26+M26-N26)</f>
        <v/>
      </c>
      <c r="P26" s="152">
        <f>S25</f>
        <v/>
      </c>
      <c r="Q26" s="159">
        <f>IF(P26&gt;0.005,P26*Debts!D11/12,0)</f>
        <v/>
      </c>
      <c r="R26" s="159" t="n">
        <v>0</v>
      </c>
      <c r="S26" s="152">
        <f>MAX(0,P26+Q26-R26)</f>
        <v/>
      </c>
      <c r="T26" s="152">
        <f>W25</f>
        <v/>
      </c>
      <c r="U26" s="159">
        <f>IF(T26&gt;0.005,T26*Debts!D12/12,0)</f>
        <v/>
      </c>
      <c r="V26" s="159" t="n">
        <v>0</v>
      </c>
      <c r="W26" s="152">
        <f>MAX(0,T26+U26-V26)</f>
        <v/>
      </c>
      <c r="X26" s="152">
        <f>AA25</f>
        <v/>
      </c>
      <c r="Y26" s="159">
        <f>IF(X26&gt;0.005,X26*Debts!D13/12,0)</f>
        <v/>
      </c>
      <c r="Z26" s="159" t="n">
        <v>0</v>
      </c>
      <c r="AA26" s="152">
        <f>MAX(0,X26+Y26-Z26)</f>
        <v/>
      </c>
      <c r="AB26" s="152">
        <f>AE25</f>
        <v/>
      </c>
      <c r="AC26" s="159">
        <f>IF(AB26&gt;0.005,AB26*Debts!D14/12,0)</f>
        <v/>
      </c>
      <c r="AD26" s="159" t="n">
        <v>0</v>
      </c>
      <c r="AE26" s="152">
        <f>MAX(0,AB26+AC26-AD26)</f>
        <v/>
      </c>
      <c r="AF26" s="152">
        <f>AI25</f>
        <v/>
      </c>
      <c r="AG26" s="159">
        <f>IF(AF26&gt;0.005,AF26*Debts!D15/12,0)</f>
        <v/>
      </c>
      <c r="AH26" s="159" t="n">
        <v>0</v>
      </c>
      <c r="AI26" s="152">
        <f>MAX(0,AF26+AG26-AH26)</f>
        <v/>
      </c>
      <c r="AJ26" s="152">
        <f>AM25</f>
        <v/>
      </c>
      <c r="AK26" s="159">
        <f>IF(AJ26&gt;0.005,AJ26*Debts!D16/12,0)</f>
        <v/>
      </c>
      <c r="AL26" s="159" t="n">
        <v>0</v>
      </c>
      <c r="AM26" s="152">
        <f>MAX(0,AJ26+AK26-AL26)</f>
        <v/>
      </c>
      <c r="AN26" s="152">
        <f>AQ25</f>
        <v/>
      </c>
      <c r="AO26" s="159">
        <f>IF(AN26&gt;0.005,AN26*Debts!D17/12,0)</f>
        <v/>
      </c>
      <c r="AP26" s="159" t="n">
        <v>0</v>
      </c>
      <c r="AQ26" s="152">
        <f>MAX(0,AN26+AO26-AP26)</f>
        <v/>
      </c>
      <c r="AR26" s="152">
        <f>AU25</f>
        <v/>
      </c>
      <c r="AS26" s="159">
        <f>IF(AR26&gt;0.005,AR26*Debts!D18/12,0)</f>
        <v/>
      </c>
      <c r="AT26" s="159" t="n">
        <v>0</v>
      </c>
      <c r="AU26" s="152">
        <f>MAX(0,AR26+AS26-AT26)</f>
        <v/>
      </c>
      <c r="AV26" s="152">
        <f>AY25</f>
        <v/>
      </c>
      <c r="AW26" s="159">
        <f>IF(AV26&gt;0.005,AV26*Debts!D19/12,0)</f>
        <v/>
      </c>
      <c r="AX26" s="159" t="n">
        <v>0</v>
      </c>
      <c r="AY26" s="152">
        <f>MAX(0,AV26+AW26-AX26)</f>
        <v/>
      </c>
      <c r="AZ26" s="152">
        <f>BC25</f>
        <v/>
      </c>
      <c r="BA26" s="159">
        <f>IF(AZ26&gt;0.005,AZ26*Debts!D20/12,0)</f>
        <v/>
      </c>
      <c r="BB26" s="159" t="n">
        <v>0</v>
      </c>
      <c r="BC26" s="152">
        <f>MAX(0,AZ26+BA26-BB26)</f>
        <v/>
      </c>
      <c r="BD26" s="152">
        <f>BG25</f>
        <v/>
      </c>
      <c r="BE26" s="159">
        <f>IF(BD26&gt;0.005,BD26*Debts!D21/12,0)</f>
        <v/>
      </c>
      <c r="BF26" s="159" t="n">
        <v>0</v>
      </c>
      <c r="BG26" s="152">
        <f>MAX(0,BD26+BE26-BF26)</f>
        <v/>
      </c>
      <c r="BH26" s="152">
        <f>BK25</f>
        <v/>
      </c>
      <c r="BI26" s="159">
        <f>IF(BH26&gt;0.005,BH26*Debts!D22/12,0)</f>
        <v/>
      </c>
      <c r="BJ26" s="159" t="n">
        <v>0</v>
      </c>
      <c r="BK26" s="152">
        <f>MAX(0,BH26+BI26-BJ26)</f>
        <v/>
      </c>
      <c r="BL26" s="152">
        <f>BO25</f>
        <v/>
      </c>
      <c r="BM26" s="159">
        <f>IF(BL26&gt;0.005,BL26*Debts!D23/12,0)</f>
        <v/>
      </c>
      <c r="BN26" s="159" t="n">
        <v>0</v>
      </c>
      <c r="BO26" s="152">
        <f>MAX(0,BL26+BM26-BN26)</f>
        <v/>
      </c>
      <c r="BP26" s="152">
        <f>BS25</f>
        <v/>
      </c>
      <c r="BQ26" s="159">
        <f>IF(BP26&gt;0.005,BP26*Debts!D24/12,0)</f>
        <v/>
      </c>
      <c r="BR26" s="159" t="n">
        <v>0</v>
      </c>
      <c r="BS26" s="152">
        <f>MAX(0,BP26+BQ26-BR26)</f>
        <v/>
      </c>
      <c r="BT26" s="152">
        <f>BW25</f>
        <v/>
      </c>
      <c r="BU26" s="159">
        <f>IF(BT26&gt;0.005,BT26*Debts!D25/12,0)</f>
        <v/>
      </c>
      <c r="BV26" s="159" t="n">
        <v>0</v>
      </c>
      <c r="BW26" s="152">
        <f>MAX(0,BT26+BU26-BV26)</f>
        <v/>
      </c>
      <c r="BX26" s="152">
        <f>CA25</f>
        <v/>
      </c>
      <c r="BY26" s="159">
        <f>IF(BX26&gt;0.005,BX26*Debts!D26/12,0)</f>
        <v/>
      </c>
      <c r="BZ26" s="159" t="n">
        <v>0</v>
      </c>
      <c r="CA26" s="152">
        <f>MAX(0,BX26+BY26-BZ26)</f>
        <v/>
      </c>
      <c r="CB26" s="152">
        <f>CE25</f>
        <v/>
      </c>
      <c r="CC26" s="159">
        <f>IF(CB26&gt;0.005,CB26*Debts!D27/12,0)</f>
        <v/>
      </c>
      <c r="CD26" s="159" t="n">
        <v>0</v>
      </c>
      <c r="CE26" s="152">
        <f>MAX(0,CB26+CC26-CD26)</f>
        <v/>
      </c>
      <c r="CF26" s="152">
        <f>G26+K26+O26+S26+W26+AA26+AE26+AI26+AM26+AQ26+AU26+AY26+BC26+BG26+BK26+BO26+BS26+BW26+CA26+CE26</f>
        <v/>
      </c>
      <c r="CG26" s="159">
        <f>E26+I26+M26+Q26+U26+Y26+AC26+AG26+AK26+AO26+AS26+AW26+BA26+BE26+BI26+BM26+BQ26+BU26+BY26+CC26</f>
        <v/>
      </c>
      <c r="CH26" s="152">
        <f>CH25+CG26</f>
        <v/>
      </c>
      <c r="CI26" s="148" t="n"/>
      <c r="CJ26" s="148" t="n"/>
    </row>
    <row r="27" ht="15" customHeight="1" s="83">
      <c r="A27" s="148" t="n"/>
      <c r="B27" s="158" t="n">
        <v>23</v>
      </c>
      <c r="C27" s="152">
        <f>F27+J27+N27+R27+V27+Z27+AD27+AH27+AL27+AP27+AT27+AX27+BB27+BF27+BJ27+BN27+BR27+BV27+BZ27+CD27</f>
        <v/>
      </c>
      <c r="D27" s="152">
        <f>G26</f>
        <v/>
      </c>
      <c r="E27" s="159">
        <f>IF(D27&gt;0.005,D27*Debts!D8/12,0)</f>
        <v/>
      </c>
      <c r="F27" s="159" t="n">
        <v>0</v>
      </c>
      <c r="G27" s="152">
        <f>MAX(0,D27+E27-F27)</f>
        <v/>
      </c>
      <c r="H27" s="152">
        <f>K26</f>
        <v/>
      </c>
      <c r="I27" s="159">
        <f>IF(H27&gt;0.005,H27*Debts!D9/12,0)</f>
        <v/>
      </c>
      <c r="J27" s="159" t="n">
        <v>0</v>
      </c>
      <c r="K27" s="152">
        <f>MAX(0,H27+I27-J27)</f>
        <v/>
      </c>
      <c r="L27" s="152">
        <f>O26</f>
        <v/>
      </c>
      <c r="M27" s="159">
        <f>IF(L27&gt;0.005,L27*Debts!D10/12,0)</f>
        <v/>
      </c>
      <c r="N27" s="159" t="n">
        <v>0</v>
      </c>
      <c r="O27" s="152">
        <f>MAX(0,L27+M27-N27)</f>
        <v/>
      </c>
      <c r="P27" s="152">
        <f>S26</f>
        <v/>
      </c>
      <c r="Q27" s="159">
        <f>IF(P27&gt;0.005,P27*Debts!D11/12,0)</f>
        <v/>
      </c>
      <c r="R27" s="159" t="n">
        <v>0</v>
      </c>
      <c r="S27" s="152">
        <f>MAX(0,P27+Q27-R27)</f>
        <v/>
      </c>
      <c r="T27" s="152">
        <f>W26</f>
        <v/>
      </c>
      <c r="U27" s="159">
        <f>IF(T27&gt;0.005,T27*Debts!D12/12,0)</f>
        <v/>
      </c>
      <c r="V27" s="159" t="n">
        <v>0</v>
      </c>
      <c r="W27" s="152">
        <f>MAX(0,T27+U27-V27)</f>
        <v/>
      </c>
      <c r="X27" s="152">
        <f>AA26</f>
        <v/>
      </c>
      <c r="Y27" s="159">
        <f>IF(X27&gt;0.005,X27*Debts!D13/12,0)</f>
        <v/>
      </c>
      <c r="Z27" s="159" t="n">
        <v>0</v>
      </c>
      <c r="AA27" s="152">
        <f>MAX(0,X27+Y27-Z27)</f>
        <v/>
      </c>
      <c r="AB27" s="152">
        <f>AE26</f>
        <v/>
      </c>
      <c r="AC27" s="159">
        <f>IF(AB27&gt;0.005,AB27*Debts!D14/12,0)</f>
        <v/>
      </c>
      <c r="AD27" s="159" t="n">
        <v>0</v>
      </c>
      <c r="AE27" s="152">
        <f>MAX(0,AB27+AC27-AD27)</f>
        <v/>
      </c>
      <c r="AF27" s="152">
        <f>AI26</f>
        <v/>
      </c>
      <c r="AG27" s="159">
        <f>IF(AF27&gt;0.005,AF27*Debts!D15/12,0)</f>
        <v/>
      </c>
      <c r="AH27" s="159" t="n">
        <v>0</v>
      </c>
      <c r="AI27" s="152">
        <f>MAX(0,AF27+AG27-AH27)</f>
        <v/>
      </c>
      <c r="AJ27" s="152">
        <f>AM26</f>
        <v/>
      </c>
      <c r="AK27" s="159">
        <f>IF(AJ27&gt;0.005,AJ27*Debts!D16/12,0)</f>
        <v/>
      </c>
      <c r="AL27" s="159" t="n">
        <v>0</v>
      </c>
      <c r="AM27" s="152">
        <f>MAX(0,AJ27+AK27-AL27)</f>
        <v/>
      </c>
      <c r="AN27" s="152">
        <f>AQ26</f>
        <v/>
      </c>
      <c r="AO27" s="159">
        <f>IF(AN27&gt;0.005,AN27*Debts!D17/12,0)</f>
        <v/>
      </c>
      <c r="AP27" s="159" t="n">
        <v>0</v>
      </c>
      <c r="AQ27" s="152">
        <f>MAX(0,AN27+AO27-AP27)</f>
        <v/>
      </c>
      <c r="AR27" s="152">
        <f>AU26</f>
        <v/>
      </c>
      <c r="AS27" s="159">
        <f>IF(AR27&gt;0.005,AR27*Debts!D18/12,0)</f>
        <v/>
      </c>
      <c r="AT27" s="159" t="n">
        <v>0</v>
      </c>
      <c r="AU27" s="152">
        <f>MAX(0,AR27+AS27-AT27)</f>
        <v/>
      </c>
      <c r="AV27" s="152">
        <f>AY26</f>
        <v/>
      </c>
      <c r="AW27" s="159">
        <f>IF(AV27&gt;0.005,AV27*Debts!D19/12,0)</f>
        <v/>
      </c>
      <c r="AX27" s="159" t="n">
        <v>0</v>
      </c>
      <c r="AY27" s="152">
        <f>MAX(0,AV27+AW27-AX27)</f>
        <v/>
      </c>
      <c r="AZ27" s="152">
        <f>BC26</f>
        <v/>
      </c>
      <c r="BA27" s="159">
        <f>IF(AZ27&gt;0.005,AZ27*Debts!D20/12,0)</f>
        <v/>
      </c>
      <c r="BB27" s="159" t="n">
        <v>0</v>
      </c>
      <c r="BC27" s="152">
        <f>MAX(0,AZ27+BA27-BB27)</f>
        <v/>
      </c>
      <c r="BD27" s="152">
        <f>BG26</f>
        <v/>
      </c>
      <c r="BE27" s="159">
        <f>IF(BD27&gt;0.005,BD27*Debts!D21/12,0)</f>
        <v/>
      </c>
      <c r="BF27" s="159" t="n">
        <v>0</v>
      </c>
      <c r="BG27" s="152">
        <f>MAX(0,BD27+BE27-BF27)</f>
        <v/>
      </c>
      <c r="BH27" s="152">
        <f>BK26</f>
        <v/>
      </c>
      <c r="BI27" s="159">
        <f>IF(BH27&gt;0.005,BH27*Debts!D22/12,0)</f>
        <v/>
      </c>
      <c r="BJ27" s="159" t="n">
        <v>0</v>
      </c>
      <c r="BK27" s="152">
        <f>MAX(0,BH27+BI27-BJ27)</f>
        <v/>
      </c>
      <c r="BL27" s="152">
        <f>BO26</f>
        <v/>
      </c>
      <c r="BM27" s="159">
        <f>IF(BL27&gt;0.005,BL27*Debts!D23/12,0)</f>
        <v/>
      </c>
      <c r="BN27" s="159" t="n">
        <v>0</v>
      </c>
      <c r="BO27" s="152">
        <f>MAX(0,BL27+BM27-BN27)</f>
        <v/>
      </c>
      <c r="BP27" s="152">
        <f>BS26</f>
        <v/>
      </c>
      <c r="BQ27" s="159">
        <f>IF(BP27&gt;0.005,BP27*Debts!D24/12,0)</f>
        <v/>
      </c>
      <c r="BR27" s="159" t="n">
        <v>0</v>
      </c>
      <c r="BS27" s="152">
        <f>MAX(0,BP27+BQ27-BR27)</f>
        <v/>
      </c>
      <c r="BT27" s="152">
        <f>BW26</f>
        <v/>
      </c>
      <c r="BU27" s="159">
        <f>IF(BT27&gt;0.005,BT27*Debts!D25/12,0)</f>
        <v/>
      </c>
      <c r="BV27" s="159" t="n">
        <v>0</v>
      </c>
      <c r="BW27" s="152">
        <f>MAX(0,BT27+BU27-BV27)</f>
        <v/>
      </c>
      <c r="BX27" s="152">
        <f>CA26</f>
        <v/>
      </c>
      <c r="BY27" s="159">
        <f>IF(BX27&gt;0.005,BX27*Debts!D26/12,0)</f>
        <v/>
      </c>
      <c r="BZ27" s="159" t="n">
        <v>0</v>
      </c>
      <c r="CA27" s="152">
        <f>MAX(0,BX27+BY27-BZ27)</f>
        <v/>
      </c>
      <c r="CB27" s="152">
        <f>CE26</f>
        <v/>
      </c>
      <c r="CC27" s="159">
        <f>IF(CB27&gt;0.005,CB27*Debts!D27/12,0)</f>
        <v/>
      </c>
      <c r="CD27" s="159" t="n">
        <v>0</v>
      </c>
      <c r="CE27" s="152">
        <f>MAX(0,CB27+CC27-CD27)</f>
        <v/>
      </c>
      <c r="CF27" s="152">
        <f>G27+K27+O27+S27+W27+AA27+AE27+AI27+AM27+AQ27+AU27+AY27+BC27+BG27+BK27+BO27+BS27+BW27+CA27+CE27</f>
        <v/>
      </c>
      <c r="CG27" s="159">
        <f>E27+I27+M27+Q27+U27+Y27+AC27+AG27+AK27+AO27+AS27+AW27+BA27+BE27+BI27+BM27+BQ27+BU27+BY27+CC27</f>
        <v/>
      </c>
      <c r="CH27" s="152">
        <f>CH26+CG27</f>
        <v/>
      </c>
      <c r="CI27" s="148" t="n"/>
      <c r="CJ27" s="148" t="n"/>
    </row>
    <row r="28" ht="15" customHeight="1" s="83">
      <c r="A28" s="148" t="n"/>
      <c r="B28" s="158" t="n">
        <v>24</v>
      </c>
      <c r="C28" s="152">
        <f>F28+J28+N28+R28+V28+Z28+AD28+AH28+AL28+AP28+AT28+AX28+BB28+BF28+BJ28+BN28+BR28+BV28+BZ28+CD28</f>
        <v/>
      </c>
      <c r="D28" s="152">
        <f>G27</f>
        <v/>
      </c>
      <c r="E28" s="159">
        <f>IF(D28&gt;0.005,D28*Debts!D8/12,0)</f>
        <v/>
      </c>
      <c r="F28" s="159" t="n">
        <v>0</v>
      </c>
      <c r="G28" s="152">
        <f>MAX(0,D28+E28-F28)</f>
        <v/>
      </c>
      <c r="H28" s="152">
        <f>K27</f>
        <v/>
      </c>
      <c r="I28" s="159">
        <f>IF(H28&gt;0.005,H28*Debts!D9/12,0)</f>
        <v/>
      </c>
      <c r="J28" s="159" t="n">
        <v>0</v>
      </c>
      <c r="K28" s="152">
        <f>MAX(0,H28+I28-J28)</f>
        <v/>
      </c>
      <c r="L28" s="152">
        <f>O27</f>
        <v/>
      </c>
      <c r="M28" s="159">
        <f>IF(L28&gt;0.005,L28*Debts!D10/12,0)</f>
        <v/>
      </c>
      <c r="N28" s="159" t="n">
        <v>0</v>
      </c>
      <c r="O28" s="152">
        <f>MAX(0,L28+M28-N28)</f>
        <v/>
      </c>
      <c r="P28" s="152">
        <f>S27</f>
        <v/>
      </c>
      <c r="Q28" s="159">
        <f>IF(P28&gt;0.005,P28*Debts!D11/12,0)</f>
        <v/>
      </c>
      <c r="R28" s="159" t="n">
        <v>0</v>
      </c>
      <c r="S28" s="152">
        <f>MAX(0,P28+Q28-R28)</f>
        <v/>
      </c>
      <c r="T28" s="152">
        <f>W27</f>
        <v/>
      </c>
      <c r="U28" s="159">
        <f>IF(T28&gt;0.005,T28*Debts!D12/12,0)</f>
        <v/>
      </c>
      <c r="V28" s="159" t="n">
        <v>0</v>
      </c>
      <c r="W28" s="152">
        <f>MAX(0,T28+U28-V28)</f>
        <v/>
      </c>
      <c r="X28" s="152">
        <f>AA27</f>
        <v/>
      </c>
      <c r="Y28" s="159">
        <f>IF(X28&gt;0.005,X28*Debts!D13/12,0)</f>
        <v/>
      </c>
      <c r="Z28" s="159" t="n">
        <v>0</v>
      </c>
      <c r="AA28" s="152">
        <f>MAX(0,X28+Y28-Z28)</f>
        <v/>
      </c>
      <c r="AB28" s="152">
        <f>AE27</f>
        <v/>
      </c>
      <c r="AC28" s="159">
        <f>IF(AB28&gt;0.005,AB28*Debts!D14/12,0)</f>
        <v/>
      </c>
      <c r="AD28" s="159" t="n">
        <v>0</v>
      </c>
      <c r="AE28" s="152">
        <f>MAX(0,AB28+AC28-AD28)</f>
        <v/>
      </c>
      <c r="AF28" s="152">
        <f>AI27</f>
        <v/>
      </c>
      <c r="AG28" s="159">
        <f>IF(AF28&gt;0.005,AF28*Debts!D15/12,0)</f>
        <v/>
      </c>
      <c r="AH28" s="159" t="n">
        <v>0</v>
      </c>
      <c r="AI28" s="152">
        <f>MAX(0,AF28+AG28-AH28)</f>
        <v/>
      </c>
      <c r="AJ28" s="152">
        <f>AM27</f>
        <v/>
      </c>
      <c r="AK28" s="159">
        <f>IF(AJ28&gt;0.005,AJ28*Debts!D16/12,0)</f>
        <v/>
      </c>
      <c r="AL28" s="159" t="n">
        <v>0</v>
      </c>
      <c r="AM28" s="152">
        <f>MAX(0,AJ28+AK28-AL28)</f>
        <v/>
      </c>
      <c r="AN28" s="152">
        <f>AQ27</f>
        <v/>
      </c>
      <c r="AO28" s="159">
        <f>IF(AN28&gt;0.005,AN28*Debts!D17/12,0)</f>
        <v/>
      </c>
      <c r="AP28" s="159" t="n">
        <v>0</v>
      </c>
      <c r="AQ28" s="152">
        <f>MAX(0,AN28+AO28-AP28)</f>
        <v/>
      </c>
      <c r="AR28" s="152">
        <f>AU27</f>
        <v/>
      </c>
      <c r="AS28" s="159">
        <f>IF(AR28&gt;0.005,AR28*Debts!D18/12,0)</f>
        <v/>
      </c>
      <c r="AT28" s="159" t="n">
        <v>0</v>
      </c>
      <c r="AU28" s="152">
        <f>MAX(0,AR28+AS28-AT28)</f>
        <v/>
      </c>
      <c r="AV28" s="152">
        <f>AY27</f>
        <v/>
      </c>
      <c r="AW28" s="159">
        <f>IF(AV28&gt;0.005,AV28*Debts!D19/12,0)</f>
        <v/>
      </c>
      <c r="AX28" s="159" t="n">
        <v>0</v>
      </c>
      <c r="AY28" s="152">
        <f>MAX(0,AV28+AW28-AX28)</f>
        <v/>
      </c>
      <c r="AZ28" s="152">
        <f>BC27</f>
        <v/>
      </c>
      <c r="BA28" s="159">
        <f>IF(AZ28&gt;0.005,AZ28*Debts!D20/12,0)</f>
        <v/>
      </c>
      <c r="BB28" s="159" t="n">
        <v>0</v>
      </c>
      <c r="BC28" s="152">
        <f>MAX(0,AZ28+BA28-BB28)</f>
        <v/>
      </c>
      <c r="BD28" s="152">
        <f>BG27</f>
        <v/>
      </c>
      <c r="BE28" s="159">
        <f>IF(BD28&gt;0.005,BD28*Debts!D21/12,0)</f>
        <v/>
      </c>
      <c r="BF28" s="159" t="n">
        <v>0</v>
      </c>
      <c r="BG28" s="152">
        <f>MAX(0,BD28+BE28-BF28)</f>
        <v/>
      </c>
      <c r="BH28" s="152">
        <f>BK27</f>
        <v/>
      </c>
      <c r="BI28" s="159">
        <f>IF(BH28&gt;0.005,BH28*Debts!D22/12,0)</f>
        <v/>
      </c>
      <c r="BJ28" s="159" t="n">
        <v>0</v>
      </c>
      <c r="BK28" s="152">
        <f>MAX(0,BH28+BI28-BJ28)</f>
        <v/>
      </c>
      <c r="BL28" s="152">
        <f>BO27</f>
        <v/>
      </c>
      <c r="BM28" s="159">
        <f>IF(BL28&gt;0.005,BL28*Debts!D23/12,0)</f>
        <v/>
      </c>
      <c r="BN28" s="159" t="n">
        <v>0</v>
      </c>
      <c r="BO28" s="152">
        <f>MAX(0,BL28+BM28-BN28)</f>
        <v/>
      </c>
      <c r="BP28" s="152">
        <f>BS27</f>
        <v/>
      </c>
      <c r="BQ28" s="159">
        <f>IF(BP28&gt;0.005,BP28*Debts!D24/12,0)</f>
        <v/>
      </c>
      <c r="BR28" s="159" t="n">
        <v>0</v>
      </c>
      <c r="BS28" s="152">
        <f>MAX(0,BP28+BQ28-BR28)</f>
        <v/>
      </c>
      <c r="BT28" s="152">
        <f>BW27</f>
        <v/>
      </c>
      <c r="BU28" s="159">
        <f>IF(BT28&gt;0.005,BT28*Debts!D25/12,0)</f>
        <v/>
      </c>
      <c r="BV28" s="159" t="n">
        <v>0</v>
      </c>
      <c r="BW28" s="152">
        <f>MAX(0,BT28+BU28-BV28)</f>
        <v/>
      </c>
      <c r="BX28" s="152">
        <f>CA27</f>
        <v/>
      </c>
      <c r="BY28" s="159">
        <f>IF(BX28&gt;0.005,BX28*Debts!D26/12,0)</f>
        <v/>
      </c>
      <c r="BZ28" s="159" t="n">
        <v>0</v>
      </c>
      <c r="CA28" s="152">
        <f>MAX(0,BX28+BY28-BZ28)</f>
        <v/>
      </c>
      <c r="CB28" s="152">
        <f>CE27</f>
        <v/>
      </c>
      <c r="CC28" s="159">
        <f>IF(CB28&gt;0.005,CB28*Debts!D27/12,0)</f>
        <v/>
      </c>
      <c r="CD28" s="159" t="n">
        <v>0</v>
      </c>
      <c r="CE28" s="152">
        <f>MAX(0,CB28+CC28-CD28)</f>
        <v/>
      </c>
      <c r="CF28" s="152">
        <f>G28+K28+O28+S28+W28+AA28+AE28+AI28+AM28+AQ28+AU28+AY28+BC28+BG28+BK28+BO28+BS28+BW28+CA28+CE28</f>
        <v/>
      </c>
      <c r="CG28" s="159">
        <f>E28+I28+M28+Q28+U28+Y28+AC28+AG28+AK28+AO28+AS28+AW28+BA28+BE28+BI28+BM28+BQ28+BU28+BY28+CC28</f>
        <v/>
      </c>
      <c r="CH28" s="152">
        <f>CH27+CG28</f>
        <v/>
      </c>
      <c r="CI28" s="148" t="n"/>
      <c r="CJ28" s="148" t="n"/>
    </row>
    <row r="29" ht="15" customHeight="1" s="83">
      <c r="A29" s="148" t="n"/>
      <c r="B29" s="158" t="n">
        <v>25</v>
      </c>
      <c r="C29" s="152">
        <f>F29+J29+N29+R29+V29+Z29+AD29+AH29+AL29+AP29+AT29+AX29+BB29+BF29+BJ29+BN29+BR29+BV29+BZ29+CD29</f>
        <v/>
      </c>
      <c r="D29" s="152">
        <f>G28</f>
        <v/>
      </c>
      <c r="E29" s="159">
        <f>IF(D29&gt;0.005,D29*Debts!D8/12,0)</f>
        <v/>
      </c>
      <c r="F29" s="159" t="n">
        <v>0</v>
      </c>
      <c r="G29" s="152">
        <f>MAX(0,D29+E29-F29)</f>
        <v/>
      </c>
      <c r="H29" s="152">
        <f>K28</f>
        <v/>
      </c>
      <c r="I29" s="159">
        <f>IF(H29&gt;0.005,H29*Debts!D9/12,0)</f>
        <v/>
      </c>
      <c r="J29" s="159" t="n">
        <v>0</v>
      </c>
      <c r="K29" s="152">
        <f>MAX(0,H29+I29-J29)</f>
        <v/>
      </c>
      <c r="L29" s="152">
        <f>O28</f>
        <v/>
      </c>
      <c r="M29" s="159">
        <f>IF(L29&gt;0.005,L29*Debts!D10/12,0)</f>
        <v/>
      </c>
      <c r="N29" s="159" t="n">
        <v>0</v>
      </c>
      <c r="O29" s="152">
        <f>MAX(0,L29+M29-N29)</f>
        <v/>
      </c>
      <c r="P29" s="152">
        <f>S28</f>
        <v/>
      </c>
      <c r="Q29" s="159">
        <f>IF(P29&gt;0.005,P29*Debts!D11/12,0)</f>
        <v/>
      </c>
      <c r="R29" s="159" t="n">
        <v>0</v>
      </c>
      <c r="S29" s="152">
        <f>MAX(0,P29+Q29-R29)</f>
        <v/>
      </c>
      <c r="T29" s="152">
        <f>W28</f>
        <v/>
      </c>
      <c r="U29" s="159">
        <f>IF(T29&gt;0.005,T29*Debts!D12/12,0)</f>
        <v/>
      </c>
      <c r="V29" s="159" t="n">
        <v>0</v>
      </c>
      <c r="W29" s="152">
        <f>MAX(0,T29+U29-V29)</f>
        <v/>
      </c>
      <c r="X29" s="152">
        <f>AA28</f>
        <v/>
      </c>
      <c r="Y29" s="159">
        <f>IF(X29&gt;0.005,X29*Debts!D13/12,0)</f>
        <v/>
      </c>
      <c r="Z29" s="159" t="n">
        <v>0</v>
      </c>
      <c r="AA29" s="152">
        <f>MAX(0,X29+Y29-Z29)</f>
        <v/>
      </c>
      <c r="AB29" s="152">
        <f>AE28</f>
        <v/>
      </c>
      <c r="AC29" s="159">
        <f>IF(AB29&gt;0.005,AB29*Debts!D14/12,0)</f>
        <v/>
      </c>
      <c r="AD29" s="159" t="n">
        <v>0</v>
      </c>
      <c r="AE29" s="152">
        <f>MAX(0,AB29+AC29-AD29)</f>
        <v/>
      </c>
      <c r="AF29" s="152">
        <f>AI28</f>
        <v/>
      </c>
      <c r="AG29" s="159">
        <f>IF(AF29&gt;0.005,AF29*Debts!D15/12,0)</f>
        <v/>
      </c>
      <c r="AH29" s="159" t="n">
        <v>0</v>
      </c>
      <c r="AI29" s="152">
        <f>MAX(0,AF29+AG29-AH29)</f>
        <v/>
      </c>
      <c r="AJ29" s="152">
        <f>AM28</f>
        <v/>
      </c>
      <c r="AK29" s="159">
        <f>IF(AJ29&gt;0.005,AJ29*Debts!D16/12,0)</f>
        <v/>
      </c>
      <c r="AL29" s="159" t="n">
        <v>0</v>
      </c>
      <c r="AM29" s="152">
        <f>MAX(0,AJ29+AK29-AL29)</f>
        <v/>
      </c>
      <c r="AN29" s="152">
        <f>AQ28</f>
        <v/>
      </c>
      <c r="AO29" s="159">
        <f>IF(AN29&gt;0.005,AN29*Debts!D17/12,0)</f>
        <v/>
      </c>
      <c r="AP29" s="159" t="n">
        <v>0</v>
      </c>
      <c r="AQ29" s="152">
        <f>MAX(0,AN29+AO29-AP29)</f>
        <v/>
      </c>
      <c r="AR29" s="152">
        <f>AU28</f>
        <v/>
      </c>
      <c r="AS29" s="159">
        <f>IF(AR29&gt;0.005,AR29*Debts!D18/12,0)</f>
        <v/>
      </c>
      <c r="AT29" s="159" t="n">
        <v>0</v>
      </c>
      <c r="AU29" s="152">
        <f>MAX(0,AR29+AS29-AT29)</f>
        <v/>
      </c>
      <c r="AV29" s="152">
        <f>AY28</f>
        <v/>
      </c>
      <c r="AW29" s="159">
        <f>IF(AV29&gt;0.005,AV29*Debts!D19/12,0)</f>
        <v/>
      </c>
      <c r="AX29" s="159" t="n">
        <v>0</v>
      </c>
      <c r="AY29" s="152">
        <f>MAX(0,AV29+AW29-AX29)</f>
        <v/>
      </c>
      <c r="AZ29" s="152">
        <f>BC28</f>
        <v/>
      </c>
      <c r="BA29" s="159">
        <f>IF(AZ29&gt;0.005,AZ29*Debts!D20/12,0)</f>
        <v/>
      </c>
      <c r="BB29" s="159" t="n">
        <v>0</v>
      </c>
      <c r="BC29" s="152">
        <f>MAX(0,AZ29+BA29-BB29)</f>
        <v/>
      </c>
      <c r="BD29" s="152">
        <f>BG28</f>
        <v/>
      </c>
      <c r="BE29" s="159">
        <f>IF(BD29&gt;0.005,BD29*Debts!D21/12,0)</f>
        <v/>
      </c>
      <c r="BF29" s="159" t="n">
        <v>0</v>
      </c>
      <c r="BG29" s="152">
        <f>MAX(0,BD29+BE29-BF29)</f>
        <v/>
      </c>
      <c r="BH29" s="152">
        <f>BK28</f>
        <v/>
      </c>
      <c r="BI29" s="159">
        <f>IF(BH29&gt;0.005,BH29*Debts!D22/12,0)</f>
        <v/>
      </c>
      <c r="BJ29" s="159" t="n">
        <v>0</v>
      </c>
      <c r="BK29" s="152">
        <f>MAX(0,BH29+BI29-BJ29)</f>
        <v/>
      </c>
      <c r="BL29" s="152">
        <f>BO28</f>
        <v/>
      </c>
      <c r="BM29" s="159">
        <f>IF(BL29&gt;0.005,BL29*Debts!D23/12,0)</f>
        <v/>
      </c>
      <c r="BN29" s="159" t="n">
        <v>0</v>
      </c>
      <c r="BO29" s="152">
        <f>MAX(0,BL29+BM29-BN29)</f>
        <v/>
      </c>
      <c r="BP29" s="152">
        <f>BS28</f>
        <v/>
      </c>
      <c r="BQ29" s="159">
        <f>IF(BP29&gt;0.005,BP29*Debts!D24/12,0)</f>
        <v/>
      </c>
      <c r="BR29" s="159" t="n">
        <v>0</v>
      </c>
      <c r="BS29" s="152">
        <f>MAX(0,BP29+BQ29-BR29)</f>
        <v/>
      </c>
      <c r="BT29" s="152">
        <f>BW28</f>
        <v/>
      </c>
      <c r="BU29" s="159">
        <f>IF(BT29&gt;0.005,BT29*Debts!D25/12,0)</f>
        <v/>
      </c>
      <c r="BV29" s="159" t="n">
        <v>0</v>
      </c>
      <c r="BW29" s="152">
        <f>MAX(0,BT29+BU29-BV29)</f>
        <v/>
      </c>
      <c r="BX29" s="152">
        <f>CA28</f>
        <v/>
      </c>
      <c r="BY29" s="159">
        <f>IF(BX29&gt;0.005,BX29*Debts!D26/12,0)</f>
        <v/>
      </c>
      <c r="BZ29" s="159" t="n">
        <v>0</v>
      </c>
      <c r="CA29" s="152">
        <f>MAX(0,BX29+BY29-BZ29)</f>
        <v/>
      </c>
      <c r="CB29" s="152">
        <f>CE28</f>
        <v/>
      </c>
      <c r="CC29" s="159">
        <f>IF(CB29&gt;0.005,CB29*Debts!D27/12,0)</f>
        <v/>
      </c>
      <c r="CD29" s="159" t="n">
        <v>0</v>
      </c>
      <c r="CE29" s="152">
        <f>MAX(0,CB29+CC29-CD29)</f>
        <v/>
      </c>
      <c r="CF29" s="152">
        <f>G29+K29+O29+S29+W29+AA29+AE29+AI29+AM29+AQ29+AU29+AY29+BC29+BG29+BK29+BO29+BS29+BW29+CA29+CE29</f>
        <v/>
      </c>
      <c r="CG29" s="159">
        <f>E29+I29+M29+Q29+U29+Y29+AC29+AG29+AK29+AO29+AS29+AW29+BA29+BE29+BI29+BM29+BQ29+BU29+BY29+CC29</f>
        <v/>
      </c>
      <c r="CH29" s="152">
        <f>CH28+CG29</f>
        <v/>
      </c>
      <c r="CI29" s="148" t="n"/>
      <c r="CJ29" s="148" t="n"/>
    </row>
    <row r="30" ht="15" customHeight="1" s="83">
      <c r="A30" s="148" t="n"/>
      <c r="B30" s="158" t="n">
        <v>26</v>
      </c>
      <c r="C30" s="152">
        <f>F30+J30+N30+R30+V30+Z30+AD30+AH30+AL30+AP30+AT30+AX30+BB30+BF30+BJ30+BN30+BR30+BV30+BZ30+CD30</f>
        <v/>
      </c>
      <c r="D30" s="152">
        <f>G29</f>
        <v/>
      </c>
      <c r="E30" s="159">
        <f>IF(D30&gt;0.005,D30*Debts!D8/12,0)</f>
        <v/>
      </c>
      <c r="F30" s="159" t="n">
        <v>0</v>
      </c>
      <c r="G30" s="152">
        <f>MAX(0,D30+E30-F30)</f>
        <v/>
      </c>
      <c r="H30" s="152">
        <f>K29</f>
        <v/>
      </c>
      <c r="I30" s="159">
        <f>IF(H30&gt;0.005,H30*Debts!D9/12,0)</f>
        <v/>
      </c>
      <c r="J30" s="159" t="n">
        <v>0</v>
      </c>
      <c r="K30" s="152">
        <f>MAX(0,H30+I30-J30)</f>
        <v/>
      </c>
      <c r="L30" s="152">
        <f>O29</f>
        <v/>
      </c>
      <c r="M30" s="159">
        <f>IF(L30&gt;0.005,L30*Debts!D10/12,0)</f>
        <v/>
      </c>
      <c r="N30" s="159" t="n">
        <v>0</v>
      </c>
      <c r="O30" s="152">
        <f>MAX(0,L30+M30-N30)</f>
        <v/>
      </c>
      <c r="P30" s="152">
        <f>S29</f>
        <v/>
      </c>
      <c r="Q30" s="159">
        <f>IF(P30&gt;0.005,P30*Debts!D11/12,0)</f>
        <v/>
      </c>
      <c r="R30" s="159" t="n">
        <v>0</v>
      </c>
      <c r="S30" s="152">
        <f>MAX(0,P30+Q30-R30)</f>
        <v/>
      </c>
      <c r="T30" s="152">
        <f>W29</f>
        <v/>
      </c>
      <c r="U30" s="159">
        <f>IF(T30&gt;0.005,T30*Debts!D12/12,0)</f>
        <v/>
      </c>
      <c r="V30" s="159" t="n">
        <v>0</v>
      </c>
      <c r="W30" s="152">
        <f>MAX(0,T30+U30-V30)</f>
        <v/>
      </c>
      <c r="X30" s="152">
        <f>AA29</f>
        <v/>
      </c>
      <c r="Y30" s="159">
        <f>IF(X30&gt;0.005,X30*Debts!D13/12,0)</f>
        <v/>
      </c>
      <c r="Z30" s="159" t="n">
        <v>0</v>
      </c>
      <c r="AA30" s="152">
        <f>MAX(0,X30+Y30-Z30)</f>
        <v/>
      </c>
      <c r="AB30" s="152">
        <f>AE29</f>
        <v/>
      </c>
      <c r="AC30" s="159">
        <f>IF(AB30&gt;0.005,AB30*Debts!D14/12,0)</f>
        <v/>
      </c>
      <c r="AD30" s="159" t="n">
        <v>0</v>
      </c>
      <c r="AE30" s="152">
        <f>MAX(0,AB30+AC30-AD30)</f>
        <v/>
      </c>
      <c r="AF30" s="152">
        <f>AI29</f>
        <v/>
      </c>
      <c r="AG30" s="159">
        <f>IF(AF30&gt;0.005,AF30*Debts!D15/12,0)</f>
        <v/>
      </c>
      <c r="AH30" s="159" t="n">
        <v>0</v>
      </c>
      <c r="AI30" s="152">
        <f>MAX(0,AF30+AG30-AH30)</f>
        <v/>
      </c>
      <c r="AJ30" s="152">
        <f>AM29</f>
        <v/>
      </c>
      <c r="AK30" s="159">
        <f>IF(AJ30&gt;0.005,AJ30*Debts!D16/12,0)</f>
        <v/>
      </c>
      <c r="AL30" s="159" t="n">
        <v>0</v>
      </c>
      <c r="AM30" s="152">
        <f>MAX(0,AJ30+AK30-AL30)</f>
        <v/>
      </c>
      <c r="AN30" s="152">
        <f>AQ29</f>
        <v/>
      </c>
      <c r="AO30" s="159">
        <f>IF(AN30&gt;0.005,AN30*Debts!D17/12,0)</f>
        <v/>
      </c>
      <c r="AP30" s="159" t="n">
        <v>0</v>
      </c>
      <c r="AQ30" s="152">
        <f>MAX(0,AN30+AO30-AP30)</f>
        <v/>
      </c>
      <c r="AR30" s="152">
        <f>AU29</f>
        <v/>
      </c>
      <c r="AS30" s="159">
        <f>IF(AR30&gt;0.005,AR30*Debts!D18/12,0)</f>
        <v/>
      </c>
      <c r="AT30" s="159" t="n">
        <v>0</v>
      </c>
      <c r="AU30" s="152">
        <f>MAX(0,AR30+AS30-AT30)</f>
        <v/>
      </c>
      <c r="AV30" s="152">
        <f>AY29</f>
        <v/>
      </c>
      <c r="AW30" s="159">
        <f>IF(AV30&gt;0.005,AV30*Debts!D19/12,0)</f>
        <v/>
      </c>
      <c r="AX30" s="159" t="n">
        <v>0</v>
      </c>
      <c r="AY30" s="152">
        <f>MAX(0,AV30+AW30-AX30)</f>
        <v/>
      </c>
      <c r="AZ30" s="152">
        <f>BC29</f>
        <v/>
      </c>
      <c r="BA30" s="159">
        <f>IF(AZ30&gt;0.005,AZ30*Debts!D20/12,0)</f>
        <v/>
      </c>
      <c r="BB30" s="159" t="n">
        <v>0</v>
      </c>
      <c r="BC30" s="152">
        <f>MAX(0,AZ30+BA30-BB30)</f>
        <v/>
      </c>
      <c r="BD30" s="152">
        <f>BG29</f>
        <v/>
      </c>
      <c r="BE30" s="159">
        <f>IF(BD30&gt;0.005,BD30*Debts!D21/12,0)</f>
        <v/>
      </c>
      <c r="BF30" s="159" t="n">
        <v>0</v>
      </c>
      <c r="BG30" s="152">
        <f>MAX(0,BD30+BE30-BF30)</f>
        <v/>
      </c>
      <c r="BH30" s="152">
        <f>BK29</f>
        <v/>
      </c>
      <c r="BI30" s="159">
        <f>IF(BH30&gt;0.005,BH30*Debts!D22/12,0)</f>
        <v/>
      </c>
      <c r="BJ30" s="159" t="n">
        <v>0</v>
      </c>
      <c r="BK30" s="152">
        <f>MAX(0,BH30+BI30-BJ30)</f>
        <v/>
      </c>
      <c r="BL30" s="152">
        <f>BO29</f>
        <v/>
      </c>
      <c r="BM30" s="159">
        <f>IF(BL30&gt;0.005,BL30*Debts!D23/12,0)</f>
        <v/>
      </c>
      <c r="BN30" s="159" t="n">
        <v>0</v>
      </c>
      <c r="BO30" s="152">
        <f>MAX(0,BL30+BM30-BN30)</f>
        <v/>
      </c>
      <c r="BP30" s="152">
        <f>BS29</f>
        <v/>
      </c>
      <c r="BQ30" s="159">
        <f>IF(BP30&gt;0.005,BP30*Debts!D24/12,0)</f>
        <v/>
      </c>
      <c r="BR30" s="159" t="n">
        <v>0</v>
      </c>
      <c r="BS30" s="152">
        <f>MAX(0,BP30+BQ30-BR30)</f>
        <v/>
      </c>
      <c r="BT30" s="152">
        <f>BW29</f>
        <v/>
      </c>
      <c r="BU30" s="159">
        <f>IF(BT30&gt;0.005,BT30*Debts!D25/12,0)</f>
        <v/>
      </c>
      <c r="BV30" s="159" t="n">
        <v>0</v>
      </c>
      <c r="BW30" s="152">
        <f>MAX(0,BT30+BU30-BV30)</f>
        <v/>
      </c>
      <c r="BX30" s="152">
        <f>CA29</f>
        <v/>
      </c>
      <c r="BY30" s="159">
        <f>IF(BX30&gt;0.005,BX30*Debts!D26/12,0)</f>
        <v/>
      </c>
      <c r="BZ30" s="159" t="n">
        <v>0</v>
      </c>
      <c r="CA30" s="152">
        <f>MAX(0,BX30+BY30-BZ30)</f>
        <v/>
      </c>
      <c r="CB30" s="152">
        <f>CE29</f>
        <v/>
      </c>
      <c r="CC30" s="159">
        <f>IF(CB30&gt;0.005,CB30*Debts!D27/12,0)</f>
        <v/>
      </c>
      <c r="CD30" s="159" t="n">
        <v>0</v>
      </c>
      <c r="CE30" s="152">
        <f>MAX(0,CB30+CC30-CD30)</f>
        <v/>
      </c>
      <c r="CF30" s="152">
        <f>G30+K30+O30+S30+W30+AA30+AE30+AI30+AM30+AQ30+AU30+AY30+BC30+BG30+BK30+BO30+BS30+BW30+CA30+CE30</f>
        <v/>
      </c>
      <c r="CG30" s="159">
        <f>E30+I30+M30+Q30+U30+Y30+AC30+AG30+AK30+AO30+AS30+AW30+BA30+BE30+BI30+BM30+BQ30+BU30+BY30+CC30</f>
        <v/>
      </c>
      <c r="CH30" s="152">
        <f>CH29+CG30</f>
        <v/>
      </c>
      <c r="CI30" s="148" t="n"/>
      <c r="CJ30" s="148" t="n"/>
    </row>
    <row r="31" ht="15" customHeight="1" s="83">
      <c r="A31" s="148" t="n"/>
      <c r="B31" s="158" t="n">
        <v>27</v>
      </c>
      <c r="C31" s="152">
        <f>F31+J31+N31+R31+V31+Z31+AD31+AH31+AL31+AP31+AT31+AX31+BB31+BF31+BJ31+BN31+BR31+BV31+BZ31+CD31</f>
        <v/>
      </c>
      <c r="D31" s="152">
        <f>G30</f>
        <v/>
      </c>
      <c r="E31" s="159">
        <f>IF(D31&gt;0.005,D31*Debts!D8/12,0)</f>
        <v/>
      </c>
      <c r="F31" s="159" t="n">
        <v>0</v>
      </c>
      <c r="G31" s="152">
        <f>MAX(0,D31+E31-F31)</f>
        <v/>
      </c>
      <c r="H31" s="152">
        <f>K30</f>
        <v/>
      </c>
      <c r="I31" s="159">
        <f>IF(H31&gt;0.005,H31*Debts!D9/12,0)</f>
        <v/>
      </c>
      <c r="J31" s="159" t="n">
        <v>0</v>
      </c>
      <c r="K31" s="152">
        <f>MAX(0,H31+I31-J31)</f>
        <v/>
      </c>
      <c r="L31" s="152">
        <f>O30</f>
        <v/>
      </c>
      <c r="M31" s="159">
        <f>IF(L31&gt;0.005,L31*Debts!D10/12,0)</f>
        <v/>
      </c>
      <c r="N31" s="159" t="n">
        <v>0</v>
      </c>
      <c r="O31" s="152">
        <f>MAX(0,L31+M31-N31)</f>
        <v/>
      </c>
      <c r="P31" s="152">
        <f>S30</f>
        <v/>
      </c>
      <c r="Q31" s="159">
        <f>IF(P31&gt;0.005,P31*Debts!D11/12,0)</f>
        <v/>
      </c>
      <c r="R31" s="159" t="n">
        <v>0</v>
      </c>
      <c r="S31" s="152">
        <f>MAX(0,P31+Q31-R31)</f>
        <v/>
      </c>
      <c r="T31" s="152">
        <f>W30</f>
        <v/>
      </c>
      <c r="U31" s="159">
        <f>IF(T31&gt;0.005,T31*Debts!D12/12,0)</f>
        <v/>
      </c>
      <c r="V31" s="159" t="n">
        <v>0</v>
      </c>
      <c r="W31" s="152">
        <f>MAX(0,T31+U31-V31)</f>
        <v/>
      </c>
      <c r="X31" s="152">
        <f>AA30</f>
        <v/>
      </c>
      <c r="Y31" s="159">
        <f>IF(X31&gt;0.005,X31*Debts!D13/12,0)</f>
        <v/>
      </c>
      <c r="Z31" s="159" t="n">
        <v>0</v>
      </c>
      <c r="AA31" s="152">
        <f>MAX(0,X31+Y31-Z31)</f>
        <v/>
      </c>
      <c r="AB31" s="152">
        <f>AE30</f>
        <v/>
      </c>
      <c r="AC31" s="159">
        <f>IF(AB31&gt;0.005,AB31*Debts!D14/12,0)</f>
        <v/>
      </c>
      <c r="AD31" s="159" t="n">
        <v>0</v>
      </c>
      <c r="AE31" s="152">
        <f>MAX(0,AB31+AC31-AD31)</f>
        <v/>
      </c>
      <c r="AF31" s="152">
        <f>AI30</f>
        <v/>
      </c>
      <c r="AG31" s="159">
        <f>IF(AF31&gt;0.005,AF31*Debts!D15/12,0)</f>
        <v/>
      </c>
      <c r="AH31" s="159" t="n">
        <v>0</v>
      </c>
      <c r="AI31" s="152">
        <f>MAX(0,AF31+AG31-AH31)</f>
        <v/>
      </c>
      <c r="AJ31" s="152">
        <f>AM30</f>
        <v/>
      </c>
      <c r="AK31" s="159">
        <f>IF(AJ31&gt;0.005,AJ31*Debts!D16/12,0)</f>
        <v/>
      </c>
      <c r="AL31" s="159" t="n">
        <v>0</v>
      </c>
      <c r="AM31" s="152">
        <f>MAX(0,AJ31+AK31-AL31)</f>
        <v/>
      </c>
      <c r="AN31" s="152">
        <f>AQ30</f>
        <v/>
      </c>
      <c r="AO31" s="159">
        <f>IF(AN31&gt;0.005,AN31*Debts!D17/12,0)</f>
        <v/>
      </c>
      <c r="AP31" s="159" t="n">
        <v>0</v>
      </c>
      <c r="AQ31" s="152">
        <f>MAX(0,AN31+AO31-AP31)</f>
        <v/>
      </c>
      <c r="AR31" s="152">
        <f>AU30</f>
        <v/>
      </c>
      <c r="AS31" s="159">
        <f>IF(AR31&gt;0.005,AR31*Debts!D18/12,0)</f>
        <v/>
      </c>
      <c r="AT31" s="159" t="n">
        <v>0</v>
      </c>
      <c r="AU31" s="152">
        <f>MAX(0,AR31+AS31-AT31)</f>
        <v/>
      </c>
      <c r="AV31" s="152">
        <f>AY30</f>
        <v/>
      </c>
      <c r="AW31" s="159">
        <f>IF(AV31&gt;0.005,AV31*Debts!D19/12,0)</f>
        <v/>
      </c>
      <c r="AX31" s="159" t="n">
        <v>0</v>
      </c>
      <c r="AY31" s="152">
        <f>MAX(0,AV31+AW31-AX31)</f>
        <v/>
      </c>
      <c r="AZ31" s="152">
        <f>BC30</f>
        <v/>
      </c>
      <c r="BA31" s="159">
        <f>IF(AZ31&gt;0.005,AZ31*Debts!D20/12,0)</f>
        <v/>
      </c>
      <c r="BB31" s="159" t="n">
        <v>0</v>
      </c>
      <c r="BC31" s="152">
        <f>MAX(0,AZ31+BA31-BB31)</f>
        <v/>
      </c>
      <c r="BD31" s="152">
        <f>BG30</f>
        <v/>
      </c>
      <c r="BE31" s="159">
        <f>IF(BD31&gt;0.005,BD31*Debts!D21/12,0)</f>
        <v/>
      </c>
      <c r="BF31" s="159" t="n">
        <v>0</v>
      </c>
      <c r="BG31" s="152">
        <f>MAX(0,BD31+BE31-BF31)</f>
        <v/>
      </c>
      <c r="BH31" s="152">
        <f>BK30</f>
        <v/>
      </c>
      <c r="BI31" s="159">
        <f>IF(BH31&gt;0.005,BH31*Debts!D22/12,0)</f>
        <v/>
      </c>
      <c r="BJ31" s="159" t="n">
        <v>0</v>
      </c>
      <c r="BK31" s="152">
        <f>MAX(0,BH31+BI31-BJ31)</f>
        <v/>
      </c>
      <c r="BL31" s="152">
        <f>BO30</f>
        <v/>
      </c>
      <c r="BM31" s="159">
        <f>IF(BL31&gt;0.005,BL31*Debts!D23/12,0)</f>
        <v/>
      </c>
      <c r="BN31" s="159" t="n">
        <v>0</v>
      </c>
      <c r="BO31" s="152">
        <f>MAX(0,BL31+BM31-BN31)</f>
        <v/>
      </c>
      <c r="BP31" s="152">
        <f>BS30</f>
        <v/>
      </c>
      <c r="BQ31" s="159">
        <f>IF(BP31&gt;0.005,BP31*Debts!D24/12,0)</f>
        <v/>
      </c>
      <c r="BR31" s="159" t="n">
        <v>0</v>
      </c>
      <c r="BS31" s="152">
        <f>MAX(0,BP31+BQ31-BR31)</f>
        <v/>
      </c>
      <c r="BT31" s="152">
        <f>BW30</f>
        <v/>
      </c>
      <c r="BU31" s="159">
        <f>IF(BT31&gt;0.005,BT31*Debts!D25/12,0)</f>
        <v/>
      </c>
      <c r="BV31" s="159" t="n">
        <v>0</v>
      </c>
      <c r="BW31" s="152">
        <f>MAX(0,BT31+BU31-BV31)</f>
        <v/>
      </c>
      <c r="BX31" s="152">
        <f>CA30</f>
        <v/>
      </c>
      <c r="BY31" s="159">
        <f>IF(BX31&gt;0.005,BX31*Debts!D26/12,0)</f>
        <v/>
      </c>
      <c r="BZ31" s="159" t="n">
        <v>0</v>
      </c>
      <c r="CA31" s="152">
        <f>MAX(0,BX31+BY31-BZ31)</f>
        <v/>
      </c>
      <c r="CB31" s="152">
        <f>CE30</f>
        <v/>
      </c>
      <c r="CC31" s="159">
        <f>IF(CB31&gt;0.005,CB31*Debts!D27/12,0)</f>
        <v/>
      </c>
      <c r="CD31" s="159" t="n">
        <v>0</v>
      </c>
      <c r="CE31" s="152">
        <f>MAX(0,CB31+CC31-CD31)</f>
        <v/>
      </c>
      <c r="CF31" s="152">
        <f>G31+K31+O31+S31+W31+AA31+AE31+AI31+AM31+AQ31+AU31+AY31+BC31+BG31+BK31+BO31+BS31+BW31+CA31+CE31</f>
        <v/>
      </c>
      <c r="CG31" s="159">
        <f>E31+I31+M31+Q31+U31+Y31+AC31+AG31+AK31+AO31+AS31+AW31+BA31+BE31+BI31+BM31+BQ31+BU31+BY31+CC31</f>
        <v/>
      </c>
      <c r="CH31" s="152">
        <f>CH30+CG31</f>
        <v/>
      </c>
      <c r="CI31" s="148" t="n"/>
      <c r="CJ31" s="148" t="n"/>
    </row>
    <row r="32" ht="15" customHeight="1" s="83">
      <c r="A32" s="148" t="n"/>
      <c r="B32" s="158" t="n">
        <v>28</v>
      </c>
      <c r="C32" s="152">
        <f>F32+J32+N32+R32+V32+Z32+AD32+AH32+AL32+AP32+AT32+AX32+BB32+BF32+BJ32+BN32+BR32+BV32+BZ32+CD32</f>
        <v/>
      </c>
      <c r="D32" s="152">
        <f>G31</f>
        <v/>
      </c>
      <c r="E32" s="159">
        <f>IF(D32&gt;0.005,D32*Debts!D8/12,0)</f>
        <v/>
      </c>
      <c r="F32" s="159" t="n">
        <v>0</v>
      </c>
      <c r="G32" s="152">
        <f>MAX(0,D32+E32-F32)</f>
        <v/>
      </c>
      <c r="H32" s="152">
        <f>K31</f>
        <v/>
      </c>
      <c r="I32" s="159">
        <f>IF(H32&gt;0.005,H32*Debts!D9/12,0)</f>
        <v/>
      </c>
      <c r="J32" s="159" t="n">
        <v>0</v>
      </c>
      <c r="K32" s="152">
        <f>MAX(0,H32+I32-J32)</f>
        <v/>
      </c>
      <c r="L32" s="152">
        <f>O31</f>
        <v/>
      </c>
      <c r="M32" s="159">
        <f>IF(L32&gt;0.005,L32*Debts!D10/12,0)</f>
        <v/>
      </c>
      <c r="N32" s="159" t="n">
        <v>0</v>
      </c>
      <c r="O32" s="152">
        <f>MAX(0,L32+M32-N32)</f>
        <v/>
      </c>
      <c r="P32" s="152">
        <f>S31</f>
        <v/>
      </c>
      <c r="Q32" s="159">
        <f>IF(P32&gt;0.005,P32*Debts!D11/12,0)</f>
        <v/>
      </c>
      <c r="R32" s="159" t="n">
        <v>0</v>
      </c>
      <c r="S32" s="152">
        <f>MAX(0,P32+Q32-R32)</f>
        <v/>
      </c>
      <c r="T32" s="152">
        <f>W31</f>
        <v/>
      </c>
      <c r="U32" s="159">
        <f>IF(T32&gt;0.005,T32*Debts!D12/12,0)</f>
        <v/>
      </c>
      <c r="V32" s="159" t="n">
        <v>0</v>
      </c>
      <c r="W32" s="152">
        <f>MAX(0,T32+U32-V32)</f>
        <v/>
      </c>
      <c r="X32" s="152">
        <f>AA31</f>
        <v/>
      </c>
      <c r="Y32" s="159">
        <f>IF(X32&gt;0.005,X32*Debts!D13/12,0)</f>
        <v/>
      </c>
      <c r="Z32" s="159" t="n">
        <v>0</v>
      </c>
      <c r="AA32" s="152">
        <f>MAX(0,X32+Y32-Z32)</f>
        <v/>
      </c>
      <c r="AB32" s="152">
        <f>AE31</f>
        <v/>
      </c>
      <c r="AC32" s="159">
        <f>IF(AB32&gt;0.005,AB32*Debts!D14/12,0)</f>
        <v/>
      </c>
      <c r="AD32" s="159" t="n">
        <v>0</v>
      </c>
      <c r="AE32" s="152">
        <f>MAX(0,AB32+AC32-AD32)</f>
        <v/>
      </c>
      <c r="AF32" s="152">
        <f>AI31</f>
        <v/>
      </c>
      <c r="AG32" s="159">
        <f>IF(AF32&gt;0.005,AF32*Debts!D15/12,0)</f>
        <v/>
      </c>
      <c r="AH32" s="159" t="n">
        <v>0</v>
      </c>
      <c r="AI32" s="152">
        <f>MAX(0,AF32+AG32-AH32)</f>
        <v/>
      </c>
      <c r="AJ32" s="152">
        <f>AM31</f>
        <v/>
      </c>
      <c r="AK32" s="159">
        <f>IF(AJ32&gt;0.005,AJ32*Debts!D16/12,0)</f>
        <v/>
      </c>
      <c r="AL32" s="159" t="n">
        <v>0</v>
      </c>
      <c r="AM32" s="152">
        <f>MAX(0,AJ32+AK32-AL32)</f>
        <v/>
      </c>
      <c r="AN32" s="152">
        <f>AQ31</f>
        <v/>
      </c>
      <c r="AO32" s="159">
        <f>IF(AN32&gt;0.005,AN32*Debts!D17/12,0)</f>
        <v/>
      </c>
      <c r="AP32" s="159" t="n">
        <v>0</v>
      </c>
      <c r="AQ32" s="152">
        <f>MAX(0,AN32+AO32-AP32)</f>
        <v/>
      </c>
      <c r="AR32" s="152">
        <f>AU31</f>
        <v/>
      </c>
      <c r="AS32" s="159">
        <f>IF(AR32&gt;0.005,AR32*Debts!D18/12,0)</f>
        <v/>
      </c>
      <c r="AT32" s="159" t="n">
        <v>0</v>
      </c>
      <c r="AU32" s="152">
        <f>MAX(0,AR32+AS32-AT32)</f>
        <v/>
      </c>
      <c r="AV32" s="152">
        <f>AY31</f>
        <v/>
      </c>
      <c r="AW32" s="159">
        <f>IF(AV32&gt;0.005,AV32*Debts!D19/12,0)</f>
        <v/>
      </c>
      <c r="AX32" s="159" t="n">
        <v>0</v>
      </c>
      <c r="AY32" s="152">
        <f>MAX(0,AV32+AW32-AX32)</f>
        <v/>
      </c>
      <c r="AZ32" s="152">
        <f>BC31</f>
        <v/>
      </c>
      <c r="BA32" s="159">
        <f>IF(AZ32&gt;0.005,AZ32*Debts!D20/12,0)</f>
        <v/>
      </c>
      <c r="BB32" s="159" t="n">
        <v>0</v>
      </c>
      <c r="BC32" s="152">
        <f>MAX(0,AZ32+BA32-BB32)</f>
        <v/>
      </c>
      <c r="BD32" s="152">
        <f>BG31</f>
        <v/>
      </c>
      <c r="BE32" s="159">
        <f>IF(BD32&gt;0.005,BD32*Debts!D21/12,0)</f>
        <v/>
      </c>
      <c r="BF32" s="159" t="n">
        <v>0</v>
      </c>
      <c r="BG32" s="152">
        <f>MAX(0,BD32+BE32-BF32)</f>
        <v/>
      </c>
      <c r="BH32" s="152">
        <f>BK31</f>
        <v/>
      </c>
      <c r="BI32" s="159">
        <f>IF(BH32&gt;0.005,BH32*Debts!D22/12,0)</f>
        <v/>
      </c>
      <c r="BJ32" s="159" t="n">
        <v>0</v>
      </c>
      <c r="BK32" s="152">
        <f>MAX(0,BH32+BI32-BJ32)</f>
        <v/>
      </c>
      <c r="BL32" s="152">
        <f>BO31</f>
        <v/>
      </c>
      <c r="BM32" s="159">
        <f>IF(BL32&gt;0.005,BL32*Debts!D23/12,0)</f>
        <v/>
      </c>
      <c r="BN32" s="159" t="n">
        <v>0</v>
      </c>
      <c r="BO32" s="152">
        <f>MAX(0,BL32+BM32-BN32)</f>
        <v/>
      </c>
      <c r="BP32" s="152">
        <f>BS31</f>
        <v/>
      </c>
      <c r="BQ32" s="159">
        <f>IF(BP32&gt;0.005,BP32*Debts!D24/12,0)</f>
        <v/>
      </c>
      <c r="BR32" s="159" t="n">
        <v>0</v>
      </c>
      <c r="BS32" s="152">
        <f>MAX(0,BP32+BQ32-BR32)</f>
        <v/>
      </c>
      <c r="BT32" s="152">
        <f>BW31</f>
        <v/>
      </c>
      <c r="BU32" s="159">
        <f>IF(BT32&gt;0.005,BT32*Debts!D25/12,0)</f>
        <v/>
      </c>
      <c r="BV32" s="159" t="n">
        <v>0</v>
      </c>
      <c r="BW32" s="152">
        <f>MAX(0,BT32+BU32-BV32)</f>
        <v/>
      </c>
      <c r="BX32" s="152">
        <f>CA31</f>
        <v/>
      </c>
      <c r="BY32" s="159">
        <f>IF(BX32&gt;0.005,BX32*Debts!D26/12,0)</f>
        <v/>
      </c>
      <c r="BZ32" s="159" t="n">
        <v>0</v>
      </c>
      <c r="CA32" s="152">
        <f>MAX(0,BX32+BY32-BZ32)</f>
        <v/>
      </c>
      <c r="CB32" s="152">
        <f>CE31</f>
        <v/>
      </c>
      <c r="CC32" s="159">
        <f>IF(CB32&gt;0.005,CB32*Debts!D27/12,0)</f>
        <v/>
      </c>
      <c r="CD32" s="159" t="n">
        <v>0</v>
      </c>
      <c r="CE32" s="152">
        <f>MAX(0,CB32+CC32-CD32)</f>
        <v/>
      </c>
      <c r="CF32" s="152">
        <f>G32+K32+O32+S32+W32+AA32+AE32+AI32+AM32+AQ32+AU32+AY32+BC32+BG32+BK32+BO32+BS32+BW32+CA32+CE32</f>
        <v/>
      </c>
      <c r="CG32" s="159">
        <f>E32+I32+M32+Q32+U32+Y32+AC32+AG32+AK32+AO32+AS32+AW32+BA32+BE32+BI32+BM32+BQ32+BU32+BY32+CC32</f>
        <v/>
      </c>
      <c r="CH32" s="152">
        <f>CH31+CG32</f>
        <v/>
      </c>
      <c r="CI32" s="148" t="n"/>
      <c r="CJ32" s="148" t="n"/>
    </row>
    <row r="33" ht="15" customHeight="1" s="83">
      <c r="A33" s="148" t="n"/>
      <c r="B33" s="158" t="n">
        <v>29</v>
      </c>
      <c r="C33" s="152">
        <f>F33+J33+N33+R33+V33+Z33+AD33+AH33+AL33+AP33+AT33+AX33+BB33+BF33+BJ33+BN33+BR33+BV33+BZ33+CD33</f>
        <v/>
      </c>
      <c r="D33" s="152">
        <f>G32</f>
        <v/>
      </c>
      <c r="E33" s="159">
        <f>IF(D33&gt;0.005,D33*Debts!D8/12,0)</f>
        <v/>
      </c>
      <c r="F33" s="159" t="n">
        <v>0</v>
      </c>
      <c r="G33" s="152">
        <f>MAX(0,D33+E33-F33)</f>
        <v/>
      </c>
      <c r="H33" s="152">
        <f>K32</f>
        <v/>
      </c>
      <c r="I33" s="159">
        <f>IF(H33&gt;0.005,H33*Debts!D9/12,0)</f>
        <v/>
      </c>
      <c r="J33" s="159" t="n">
        <v>0</v>
      </c>
      <c r="K33" s="152">
        <f>MAX(0,H33+I33-J33)</f>
        <v/>
      </c>
      <c r="L33" s="152">
        <f>O32</f>
        <v/>
      </c>
      <c r="M33" s="159">
        <f>IF(L33&gt;0.005,L33*Debts!D10/12,0)</f>
        <v/>
      </c>
      <c r="N33" s="159" t="n">
        <v>0</v>
      </c>
      <c r="O33" s="152">
        <f>MAX(0,L33+M33-N33)</f>
        <v/>
      </c>
      <c r="P33" s="152">
        <f>S32</f>
        <v/>
      </c>
      <c r="Q33" s="159">
        <f>IF(P33&gt;0.005,P33*Debts!D11/12,0)</f>
        <v/>
      </c>
      <c r="R33" s="159" t="n">
        <v>0</v>
      </c>
      <c r="S33" s="152">
        <f>MAX(0,P33+Q33-R33)</f>
        <v/>
      </c>
      <c r="T33" s="152">
        <f>W32</f>
        <v/>
      </c>
      <c r="U33" s="159">
        <f>IF(T33&gt;0.005,T33*Debts!D12/12,0)</f>
        <v/>
      </c>
      <c r="V33" s="159" t="n">
        <v>0</v>
      </c>
      <c r="W33" s="152">
        <f>MAX(0,T33+U33-V33)</f>
        <v/>
      </c>
      <c r="X33" s="152">
        <f>AA32</f>
        <v/>
      </c>
      <c r="Y33" s="159">
        <f>IF(X33&gt;0.005,X33*Debts!D13/12,0)</f>
        <v/>
      </c>
      <c r="Z33" s="159" t="n">
        <v>0</v>
      </c>
      <c r="AA33" s="152">
        <f>MAX(0,X33+Y33-Z33)</f>
        <v/>
      </c>
      <c r="AB33" s="152">
        <f>AE32</f>
        <v/>
      </c>
      <c r="AC33" s="159">
        <f>IF(AB33&gt;0.005,AB33*Debts!D14/12,0)</f>
        <v/>
      </c>
      <c r="AD33" s="159" t="n">
        <v>0</v>
      </c>
      <c r="AE33" s="152">
        <f>MAX(0,AB33+AC33-AD33)</f>
        <v/>
      </c>
      <c r="AF33" s="152">
        <f>AI32</f>
        <v/>
      </c>
      <c r="AG33" s="159">
        <f>IF(AF33&gt;0.005,AF33*Debts!D15/12,0)</f>
        <v/>
      </c>
      <c r="AH33" s="159" t="n">
        <v>0</v>
      </c>
      <c r="AI33" s="152">
        <f>MAX(0,AF33+AG33-AH33)</f>
        <v/>
      </c>
      <c r="AJ33" s="152">
        <f>AM32</f>
        <v/>
      </c>
      <c r="AK33" s="159">
        <f>IF(AJ33&gt;0.005,AJ33*Debts!D16/12,0)</f>
        <v/>
      </c>
      <c r="AL33" s="159" t="n">
        <v>0</v>
      </c>
      <c r="AM33" s="152">
        <f>MAX(0,AJ33+AK33-AL33)</f>
        <v/>
      </c>
      <c r="AN33" s="152">
        <f>AQ32</f>
        <v/>
      </c>
      <c r="AO33" s="159">
        <f>IF(AN33&gt;0.005,AN33*Debts!D17/12,0)</f>
        <v/>
      </c>
      <c r="AP33" s="159" t="n">
        <v>0</v>
      </c>
      <c r="AQ33" s="152">
        <f>MAX(0,AN33+AO33-AP33)</f>
        <v/>
      </c>
      <c r="AR33" s="152">
        <f>AU32</f>
        <v/>
      </c>
      <c r="AS33" s="159">
        <f>IF(AR33&gt;0.005,AR33*Debts!D18/12,0)</f>
        <v/>
      </c>
      <c r="AT33" s="159" t="n">
        <v>0</v>
      </c>
      <c r="AU33" s="152">
        <f>MAX(0,AR33+AS33-AT33)</f>
        <v/>
      </c>
      <c r="AV33" s="152">
        <f>AY32</f>
        <v/>
      </c>
      <c r="AW33" s="159">
        <f>IF(AV33&gt;0.005,AV33*Debts!D19/12,0)</f>
        <v/>
      </c>
      <c r="AX33" s="159" t="n">
        <v>0</v>
      </c>
      <c r="AY33" s="152">
        <f>MAX(0,AV33+AW33-AX33)</f>
        <v/>
      </c>
      <c r="AZ33" s="152">
        <f>BC32</f>
        <v/>
      </c>
      <c r="BA33" s="159">
        <f>IF(AZ33&gt;0.005,AZ33*Debts!D20/12,0)</f>
        <v/>
      </c>
      <c r="BB33" s="159" t="n">
        <v>0</v>
      </c>
      <c r="BC33" s="152">
        <f>MAX(0,AZ33+BA33-BB33)</f>
        <v/>
      </c>
      <c r="BD33" s="152">
        <f>BG32</f>
        <v/>
      </c>
      <c r="BE33" s="159">
        <f>IF(BD33&gt;0.005,BD33*Debts!D21/12,0)</f>
        <v/>
      </c>
      <c r="BF33" s="159" t="n">
        <v>0</v>
      </c>
      <c r="BG33" s="152">
        <f>MAX(0,BD33+BE33-BF33)</f>
        <v/>
      </c>
      <c r="BH33" s="152">
        <f>BK32</f>
        <v/>
      </c>
      <c r="BI33" s="159">
        <f>IF(BH33&gt;0.005,BH33*Debts!D22/12,0)</f>
        <v/>
      </c>
      <c r="BJ33" s="159" t="n">
        <v>0</v>
      </c>
      <c r="BK33" s="152">
        <f>MAX(0,BH33+BI33-BJ33)</f>
        <v/>
      </c>
      <c r="BL33" s="152">
        <f>BO32</f>
        <v/>
      </c>
      <c r="BM33" s="159">
        <f>IF(BL33&gt;0.005,BL33*Debts!D23/12,0)</f>
        <v/>
      </c>
      <c r="BN33" s="159" t="n">
        <v>0</v>
      </c>
      <c r="BO33" s="152">
        <f>MAX(0,BL33+BM33-BN33)</f>
        <v/>
      </c>
      <c r="BP33" s="152">
        <f>BS32</f>
        <v/>
      </c>
      <c r="BQ33" s="159">
        <f>IF(BP33&gt;0.005,BP33*Debts!D24/12,0)</f>
        <v/>
      </c>
      <c r="BR33" s="159" t="n">
        <v>0</v>
      </c>
      <c r="BS33" s="152">
        <f>MAX(0,BP33+BQ33-BR33)</f>
        <v/>
      </c>
      <c r="BT33" s="152">
        <f>BW32</f>
        <v/>
      </c>
      <c r="BU33" s="159">
        <f>IF(BT33&gt;0.005,BT33*Debts!D25/12,0)</f>
        <v/>
      </c>
      <c r="BV33" s="159" t="n">
        <v>0</v>
      </c>
      <c r="BW33" s="152">
        <f>MAX(0,BT33+BU33-BV33)</f>
        <v/>
      </c>
      <c r="BX33" s="152">
        <f>CA32</f>
        <v/>
      </c>
      <c r="BY33" s="159">
        <f>IF(BX33&gt;0.005,BX33*Debts!D26/12,0)</f>
        <v/>
      </c>
      <c r="BZ33" s="159" t="n">
        <v>0</v>
      </c>
      <c r="CA33" s="152">
        <f>MAX(0,BX33+BY33-BZ33)</f>
        <v/>
      </c>
      <c r="CB33" s="152">
        <f>CE32</f>
        <v/>
      </c>
      <c r="CC33" s="159">
        <f>IF(CB33&gt;0.005,CB33*Debts!D27/12,0)</f>
        <v/>
      </c>
      <c r="CD33" s="159" t="n">
        <v>0</v>
      </c>
      <c r="CE33" s="152">
        <f>MAX(0,CB33+CC33-CD33)</f>
        <v/>
      </c>
      <c r="CF33" s="152">
        <f>G33+K33+O33+S33+W33+AA33+AE33+AI33+AM33+AQ33+AU33+AY33+BC33+BG33+BK33+BO33+BS33+BW33+CA33+CE33</f>
        <v/>
      </c>
      <c r="CG33" s="159">
        <f>E33+I33+M33+Q33+U33+Y33+AC33+AG33+AK33+AO33+AS33+AW33+BA33+BE33+BI33+BM33+BQ33+BU33+BY33+CC33</f>
        <v/>
      </c>
      <c r="CH33" s="152">
        <f>CH32+CG33</f>
        <v/>
      </c>
      <c r="CI33" s="148" t="n"/>
      <c r="CJ33" s="148" t="n"/>
    </row>
    <row r="34" ht="15" customHeight="1" s="83">
      <c r="A34" s="148" t="n"/>
      <c r="B34" s="158" t="n">
        <v>30</v>
      </c>
      <c r="C34" s="152">
        <f>F34+J34+N34+R34+V34+Z34+AD34+AH34+AL34+AP34+AT34+AX34+BB34+BF34+BJ34+BN34+BR34+BV34+BZ34+CD34</f>
        <v/>
      </c>
      <c r="D34" s="152">
        <f>G33</f>
        <v/>
      </c>
      <c r="E34" s="159">
        <f>IF(D34&gt;0.005,D34*Debts!D8/12,0)</f>
        <v/>
      </c>
      <c r="F34" s="159" t="n">
        <v>0</v>
      </c>
      <c r="G34" s="152">
        <f>MAX(0,D34+E34-F34)</f>
        <v/>
      </c>
      <c r="H34" s="152">
        <f>K33</f>
        <v/>
      </c>
      <c r="I34" s="159">
        <f>IF(H34&gt;0.005,H34*Debts!D9/12,0)</f>
        <v/>
      </c>
      <c r="J34" s="159" t="n">
        <v>0</v>
      </c>
      <c r="K34" s="152">
        <f>MAX(0,H34+I34-J34)</f>
        <v/>
      </c>
      <c r="L34" s="152">
        <f>O33</f>
        <v/>
      </c>
      <c r="M34" s="159">
        <f>IF(L34&gt;0.005,L34*Debts!D10/12,0)</f>
        <v/>
      </c>
      <c r="N34" s="159" t="n">
        <v>0</v>
      </c>
      <c r="O34" s="152">
        <f>MAX(0,L34+M34-N34)</f>
        <v/>
      </c>
      <c r="P34" s="152">
        <f>S33</f>
        <v/>
      </c>
      <c r="Q34" s="159">
        <f>IF(P34&gt;0.005,P34*Debts!D11/12,0)</f>
        <v/>
      </c>
      <c r="R34" s="159" t="n">
        <v>0</v>
      </c>
      <c r="S34" s="152">
        <f>MAX(0,P34+Q34-R34)</f>
        <v/>
      </c>
      <c r="T34" s="152">
        <f>W33</f>
        <v/>
      </c>
      <c r="U34" s="159">
        <f>IF(T34&gt;0.005,T34*Debts!D12/12,0)</f>
        <v/>
      </c>
      <c r="V34" s="159" t="n">
        <v>0</v>
      </c>
      <c r="W34" s="152">
        <f>MAX(0,T34+U34-V34)</f>
        <v/>
      </c>
      <c r="X34" s="152">
        <f>AA33</f>
        <v/>
      </c>
      <c r="Y34" s="159">
        <f>IF(X34&gt;0.005,X34*Debts!D13/12,0)</f>
        <v/>
      </c>
      <c r="Z34" s="159" t="n">
        <v>0</v>
      </c>
      <c r="AA34" s="152">
        <f>MAX(0,X34+Y34-Z34)</f>
        <v/>
      </c>
      <c r="AB34" s="152">
        <f>AE33</f>
        <v/>
      </c>
      <c r="AC34" s="159">
        <f>IF(AB34&gt;0.005,AB34*Debts!D14/12,0)</f>
        <v/>
      </c>
      <c r="AD34" s="159" t="n">
        <v>0</v>
      </c>
      <c r="AE34" s="152">
        <f>MAX(0,AB34+AC34-AD34)</f>
        <v/>
      </c>
      <c r="AF34" s="152">
        <f>AI33</f>
        <v/>
      </c>
      <c r="AG34" s="159">
        <f>IF(AF34&gt;0.005,AF34*Debts!D15/12,0)</f>
        <v/>
      </c>
      <c r="AH34" s="159" t="n">
        <v>0</v>
      </c>
      <c r="AI34" s="152">
        <f>MAX(0,AF34+AG34-AH34)</f>
        <v/>
      </c>
      <c r="AJ34" s="152">
        <f>AM33</f>
        <v/>
      </c>
      <c r="AK34" s="159">
        <f>IF(AJ34&gt;0.005,AJ34*Debts!D16/12,0)</f>
        <v/>
      </c>
      <c r="AL34" s="159" t="n">
        <v>0</v>
      </c>
      <c r="AM34" s="152">
        <f>MAX(0,AJ34+AK34-AL34)</f>
        <v/>
      </c>
      <c r="AN34" s="152">
        <f>AQ33</f>
        <v/>
      </c>
      <c r="AO34" s="159">
        <f>IF(AN34&gt;0.005,AN34*Debts!D17/12,0)</f>
        <v/>
      </c>
      <c r="AP34" s="159" t="n">
        <v>0</v>
      </c>
      <c r="AQ34" s="152">
        <f>MAX(0,AN34+AO34-AP34)</f>
        <v/>
      </c>
      <c r="AR34" s="152">
        <f>AU33</f>
        <v/>
      </c>
      <c r="AS34" s="159">
        <f>IF(AR34&gt;0.005,AR34*Debts!D18/12,0)</f>
        <v/>
      </c>
      <c r="AT34" s="159" t="n">
        <v>0</v>
      </c>
      <c r="AU34" s="152">
        <f>MAX(0,AR34+AS34-AT34)</f>
        <v/>
      </c>
      <c r="AV34" s="152">
        <f>AY33</f>
        <v/>
      </c>
      <c r="AW34" s="159">
        <f>IF(AV34&gt;0.005,AV34*Debts!D19/12,0)</f>
        <v/>
      </c>
      <c r="AX34" s="159" t="n">
        <v>0</v>
      </c>
      <c r="AY34" s="152">
        <f>MAX(0,AV34+AW34-AX34)</f>
        <v/>
      </c>
      <c r="AZ34" s="152">
        <f>BC33</f>
        <v/>
      </c>
      <c r="BA34" s="159">
        <f>IF(AZ34&gt;0.005,AZ34*Debts!D20/12,0)</f>
        <v/>
      </c>
      <c r="BB34" s="159" t="n">
        <v>0</v>
      </c>
      <c r="BC34" s="152">
        <f>MAX(0,AZ34+BA34-BB34)</f>
        <v/>
      </c>
      <c r="BD34" s="152">
        <f>BG33</f>
        <v/>
      </c>
      <c r="BE34" s="159">
        <f>IF(BD34&gt;0.005,BD34*Debts!D21/12,0)</f>
        <v/>
      </c>
      <c r="BF34" s="159" t="n">
        <v>0</v>
      </c>
      <c r="BG34" s="152">
        <f>MAX(0,BD34+BE34-BF34)</f>
        <v/>
      </c>
      <c r="BH34" s="152">
        <f>BK33</f>
        <v/>
      </c>
      <c r="BI34" s="159">
        <f>IF(BH34&gt;0.005,BH34*Debts!D22/12,0)</f>
        <v/>
      </c>
      <c r="BJ34" s="159" t="n">
        <v>0</v>
      </c>
      <c r="BK34" s="152">
        <f>MAX(0,BH34+BI34-BJ34)</f>
        <v/>
      </c>
      <c r="BL34" s="152">
        <f>BO33</f>
        <v/>
      </c>
      <c r="BM34" s="159">
        <f>IF(BL34&gt;0.005,BL34*Debts!D23/12,0)</f>
        <v/>
      </c>
      <c r="BN34" s="159" t="n">
        <v>0</v>
      </c>
      <c r="BO34" s="152">
        <f>MAX(0,BL34+BM34-BN34)</f>
        <v/>
      </c>
      <c r="BP34" s="152">
        <f>BS33</f>
        <v/>
      </c>
      <c r="BQ34" s="159">
        <f>IF(BP34&gt;0.005,BP34*Debts!D24/12,0)</f>
        <v/>
      </c>
      <c r="BR34" s="159" t="n">
        <v>0</v>
      </c>
      <c r="BS34" s="152">
        <f>MAX(0,BP34+BQ34-BR34)</f>
        <v/>
      </c>
      <c r="BT34" s="152">
        <f>BW33</f>
        <v/>
      </c>
      <c r="BU34" s="159">
        <f>IF(BT34&gt;0.005,BT34*Debts!D25/12,0)</f>
        <v/>
      </c>
      <c r="BV34" s="159" t="n">
        <v>0</v>
      </c>
      <c r="BW34" s="152">
        <f>MAX(0,BT34+BU34-BV34)</f>
        <v/>
      </c>
      <c r="BX34" s="152">
        <f>CA33</f>
        <v/>
      </c>
      <c r="BY34" s="159">
        <f>IF(BX34&gt;0.005,BX34*Debts!D26/12,0)</f>
        <v/>
      </c>
      <c r="BZ34" s="159" t="n">
        <v>0</v>
      </c>
      <c r="CA34" s="152">
        <f>MAX(0,BX34+BY34-BZ34)</f>
        <v/>
      </c>
      <c r="CB34" s="152">
        <f>CE33</f>
        <v/>
      </c>
      <c r="CC34" s="159">
        <f>IF(CB34&gt;0.005,CB34*Debts!D27/12,0)</f>
        <v/>
      </c>
      <c r="CD34" s="159" t="n">
        <v>0</v>
      </c>
      <c r="CE34" s="152">
        <f>MAX(0,CB34+CC34-CD34)</f>
        <v/>
      </c>
      <c r="CF34" s="152">
        <f>G34+K34+O34+S34+W34+AA34+AE34+AI34+AM34+AQ34+AU34+AY34+BC34+BG34+BK34+BO34+BS34+BW34+CA34+CE34</f>
        <v/>
      </c>
      <c r="CG34" s="159">
        <f>E34+I34+M34+Q34+U34+Y34+AC34+AG34+AK34+AO34+AS34+AW34+BA34+BE34+BI34+BM34+BQ34+BU34+BY34+CC34</f>
        <v/>
      </c>
      <c r="CH34" s="152">
        <f>CH33+CG34</f>
        <v/>
      </c>
      <c r="CI34" s="148" t="n"/>
      <c r="CJ34" s="148" t="n"/>
    </row>
    <row r="35" ht="15" customHeight="1" s="83">
      <c r="A35" s="148" t="n"/>
      <c r="B35" s="158" t="n">
        <v>31</v>
      </c>
      <c r="C35" s="152">
        <f>F35+J35+N35+R35+V35+Z35+AD35+AH35+AL35+AP35+AT35+AX35+BB35+BF35+BJ35+BN35+BR35+BV35+BZ35+CD35</f>
        <v/>
      </c>
      <c r="D35" s="152">
        <f>G34</f>
        <v/>
      </c>
      <c r="E35" s="159">
        <f>IF(D35&gt;0.005,D35*Debts!D8/12,0)</f>
        <v/>
      </c>
      <c r="F35" s="159" t="n">
        <v>0</v>
      </c>
      <c r="G35" s="152">
        <f>MAX(0,D35+E35-F35)</f>
        <v/>
      </c>
      <c r="H35" s="152">
        <f>K34</f>
        <v/>
      </c>
      <c r="I35" s="159">
        <f>IF(H35&gt;0.005,H35*Debts!D9/12,0)</f>
        <v/>
      </c>
      <c r="J35" s="159" t="n">
        <v>0</v>
      </c>
      <c r="K35" s="152">
        <f>MAX(0,H35+I35-J35)</f>
        <v/>
      </c>
      <c r="L35" s="152">
        <f>O34</f>
        <v/>
      </c>
      <c r="M35" s="159">
        <f>IF(L35&gt;0.005,L35*Debts!D10/12,0)</f>
        <v/>
      </c>
      <c r="N35" s="159" t="n">
        <v>0</v>
      </c>
      <c r="O35" s="152">
        <f>MAX(0,L35+M35-N35)</f>
        <v/>
      </c>
      <c r="P35" s="152">
        <f>S34</f>
        <v/>
      </c>
      <c r="Q35" s="159">
        <f>IF(P35&gt;0.005,P35*Debts!D11/12,0)</f>
        <v/>
      </c>
      <c r="R35" s="159" t="n">
        <v>0</v>
      </c>
      <c r="S35" s="152">
        <f>MAX(0,P35+Q35-R35)</f>
        <v/>
      </c>
      <c r="T35" s="152">
        <f>W34</f>
        <v/>
      </c>
      <c r="U35" s="159">
        <f>IF(T35&gt;0.005,T35*Debts!D12/12,0)</f>
        <v/>
      </c>
      <c r="V35" s="159" t="n">
        <v>0</v>
      </c>
      <c r="W35" s="152">
        <f>MAX(0,T35+U35-V35)</f>
        <v/>
      </c>
      <c r="X35" s="152">
        <f>AA34</f>
        <v/>
      </c>
      <c r="Y35" s="159">
        <f>IF(X35&gt;0.005,X35*Debts!D13/12,0)</f>
        <v/>
      </c>
      <c r="Z35" s="159" t="n">
        <v>0</v>
      </c>
      <c r="AA35" s="152">
        <f>MAX(0,X35+Y35-Z35)</f>
        <v/>
      </c>
      <c r="AB35" s="152">
        <f>AE34</f>
        <v/>
      </c>
      <c r="AC35" s="159">
        <f>IF(AB35&gt;0.005,AB35*Debts!D14/12,0)</f>
        <v/>
      </c>
      <c r="AD35" s="159" t="n">
        <v>0</v>
      </c>
      <c r="AE35" s="152">
        <f>MAX(0,AB35+AC35-AD35)</f>
        <v/>
      </c>
      <c r="AF35" s="152">
        <f>AI34</f>
        <v/>
      </c>
      <c r="AG35" s="159">
        <f>IF(AF35&gt;0.005,AF35*Debts!D15/12,0)</f>
        <v/>
      </c>
      <c r="AH35" s="159" t="n">
        <v>0</v>
      </c>
      <c r="AI35" s="152">
        <f>MAX(0,AF35+AG35-AH35)</f>
        <v/>
      </c>
      <c r="AJ35" s="152">
        <f>AM34</f>
        <v/>
      </c>
      <c r="AK35" s="159">
        <f>IF(AJ35&gt;0.005,AJ35*Debts!D16/12,0)</f>
        <v/>
      </c>
      <c r="AL35" s="159" t="n">
        <v>0</v>
      </c>
      <c r="AM35" s="152">
        <f>MAX(0,AJ35+AK35-AL35)</f>
        <v/>
      </c>
      <c r="AN35" s="152">
        <f>AQ34</f>
        <v/>
      </c>
      <c r="AO35" s="159">
        <f>IF(AN35&gt;0.005,AN35*Debts!D17/12,0)</f>
        <v/>
      </c>
      <c r="AP35" s="159" t="n">
        <v>0</v>
      </c>
      <c r="AQ35" s="152">
        <f>MAX(0,AN35+AO35-AP35)</f>
        <v/>
      </c>
      <c r="AR35" s="152">
        <f>AU34</f>
        <v/>
      </c>
      <c r="AS35" s="159">
        <f>IF(AR35&gt;0.005,AR35*Debts!D18/12,0)</f>
        <v/>
      </c>
      <c r="AT35" s="159" t="n">
        <v>0</v>
      </c>
      <c r="AU35" s="152">
        <f>MAX(0,AR35+AS35-AT35)</f>
        <v/>
      </c>
      <c r="AV35" s="152">
        <f>AY34</f>
        <v/>
      </c>
      <c r="AW35" s="159">
        <f>IF(AV35&gt;0.005,AV35*Debts!D19/12,0)</f>
        <v/>
      </c>
      <c r="AX35" s="159" t="n">
        <v>0</v>
      </c>
      <c r="AY35" s="152">
        <f>MAX(0,AV35+AW35-AX35)</f>
        <v/>
      </c>
      <c r="AZ35" s="152">
        <f>BC34</f>
        <v/>
      </c>
      <c r="BA35" s="159">
        <f>IF(AZ35&gt;0.005,AZ35*Debts!D20/12,0)</f>
        <v/>
      </c>
      <c r="BB35" s="159" t="n">
        <v>0</v>
      </c>
      <c r="BC35" s="152">
        <f>MAX(0,AZ35+BA35-BB35)</f>
        <v/>
      </c>
      <c r="BD35" s="152">
        <f>BG34</f>
        <v/>
      </c>
      <c r="BE35" s="159">
        <f>IF(BD35&gt;0.005,BD35*Debts!D21/12,0)</f>
        <v/>
      </c>
      <c r="BF35" s="159" t="n">
        <v>0</v>
      </c>
      <c r="BG35" s="152">
        <f>MAX(0,BD35+BE35-BF35)</f>
        <v/>
      </c>
      <c r="BH35" s="152">
        <f>BK34</f>
        <v/>
      </c>
      <c r="BI35" s="159">
        <f>IF(BH35&gt;0.005,BH35*Debts!D22/12,0)</f>
        <v/>
      </c>
      <c r="BJ35" s="159" t="n">
        <v>0</v>
      </c>
      <c r="BK35" s="152">
        <f>MAX(0,BH35+BI35-BJ35)</f>
        <v/>
      </c>
      <c r="BL35" s="152">
        <f>BO34</f>
        <v/>
      </c>
      <c r="BM35" s="159">
        <f>IF(BL35&gt;0.005,BL35*Debts!D23/12,0)</f>
        <v/>
      </c>
      <c r="BN35" s="159" t="n">
        <v>0</v>
      </c>
      <c r="BO35" s="152">
        <f>MAX(0,BL35+BM35-BN35)</f>
        <v/>
      </c>
      <c r="BP35" s="152">
        <f>BS34</f>
        <v/>
      </c>
      <c r="BQ35" s="159">
        <f>IF(BP35&gt;0.005,BP35*Debts!D24/12,0)</f>
        <v/>
      </c>
      <c r="BR35" s="159" t="n">
        <v>0</v>
      </c>
      <c r="BS35" s="152">
        <f>MAX(0,BP35+BQ35-BR35)</f>
        <v/>
      </c>
      <c r="BT35" s="152">
        <f>BW34</f>
        <v/>
      </c>
      <c r="BU35" s="159">
        <f>IF(BT35&gt;0.005,BT35*Debts!D25/12,0)</f>
        <v/>
      </c>
      <c r="BV35" s="159" t="n">
        <v>0</v>
      </c>
      <c r="BW35" s="152">
        <f>MAX(0,BT35+BU35-BV35)</f>
        <v/>
      </c>
      <c r="BX35" s="152">
        <f>CA34</f>
        <v/>
      </c>
      <c r="BY35" s="159">
        <f>IF(BX35&gt;0.005,BX35*Debts!D26/12,0)</f>
        <v/>
      </c>
      <c r="BZ35" s="159" t="n">
        <v>0</v>
      </c>
      <c r="CA35" s="152">
        <f>MAX(0,BX35+BY35-BZ35)</f>
        <v/>
      </c>
      <c r="CB35" s="152">
        <f>CE34</f>
        <v/>
      </c>
      <c r="CC35" s="159">
        <f>IF(CB35&gt;0.005,CB35*Debts!D27/12,0)</f>
        <v/>
      </c>
      <c r="CD35" s="159" t="n">
        <v>0</v>
      </c>
      <c r="CE35" s="152">
        <f>MAX(0,CB35+CC35-CD35)</f>
        <v/>
      </c>
      <c r="CF35" s="152">
        <f>G35+K35+O35+S35+W35+AA35+AE35+AI35+AM35+AQ35+AU35+AY35+BC35+BG35+BK35+BO35+BS35+BW35+CA35+CE35</f>
        <v/>
      </c>
      <c r="CG35" s="159">
        <f>E35+I35+M35+Q35+U35+Y35+AC35+AG35+AK35+AO35+AS35+AW35+BA35+BE35+BI35+BM35+BQ35+BU35+BY35+CC35</f>
        <v/>
      </c>
      <c r="CH35" s="152">
        <f>CH34+CG35</f>
        <v/>
      </c>
      <c r="CI35" s="148" t="n"/>
      <c r="CJ35" s="148" t="n"/>
    </row>
    <row r="36" ht="15" customHeight="1" s="83">
      <c r="A36" s="148" t="n"/>
      <c r="B36" s="158" t="n">
        <v>32</v>
      </c>
      <c r="C36" s="152">
        <f>F36+J36+N36+R36+V36+Z36+AD36+AH36+AL36+AP36+AT36+AX36+BB36+BF36+BJ36+BN36+BR36+BV36+BZ36+CD36</f>
        <v/>
      </c>
      <c r="D36" s="152">
        <f>G35</f>
        <v/>
      </c>
      <c r="E36" s="159">
        <f>IF(D36&gt;0.005,D36*Debts!D8/12,0)</f>
        <v/>
      </c>
      <c r="F36" s="159" t="n">
        <v>0</v>
      </c>
      <c r="G36" s="152">
        <f>MAX(0,D36+E36-F36)</f>
        <v/>
      </c>
      <c r="H36" s="152">
        <f>K35</f>
        <v/>
      </c>
      <c r="I36" s="159">
        <f>IF(H36&gt;0.005,H36*Debts!D9/12,0)</f>
        <v/>
      </c>
      <c r="J36" s="159" t="n">
        <v>0</v>
      </c>
      <c r="K36" s="152">
        <f>MAX(0,H36+I36-J36)</f>
        <v/>
      </c>
      <c r="L36" s="152">
        <f>O35</f>
        <v/>
      </c>
      <c r="M36" s="159">
        <f>IF(L36&gt;0.005,L36*Debts!D10/12,0)</f>
        <v/>
      </c>
      <c r="N36" s="159" t="n">
        <v>0</v>
      </c>
      <c r="O36" s="152">
        <f>MAX(0,L36+M36-N36)</f>
        <v/>
      </c>
      <c r="P36" s="152">
        <f>S35</f>
        <v/>
      </c>
      <c r="Q36" s="159">
        <f>IF(P36&gt;0.005,P36*Debts!D11/12,0)</f>
        <v/>
      </c>
      <c r="R36" s="159" t="n">
        <v>0</v>
      </c>
      <c r="S36" s="152">
        <f>MAX(0,P36+Q36-R36)</f>
        <v/>
      </c>
      <c r="T36" s="152">
        <f>W35</f>
        <v/>
      </c>
      <c r="U36" s="159">
        <f>IF(T36&gt;0.005,T36*Debts!D12/12,0)</f>
        <v/>
      </c>
      <c r="V36" s="159" t="n">
        <v>0</v>
      </c>
      <c r="W36" s="152">
        <f>MAX(0,T36+U36-V36)</f>
        <v/>
      </c>
      <c r="X36" s="152">
        <f>AA35</f>
        <v/>
      </c>
      <c r="Y36" s="159">
        <f>IF(X36&gt;0.005,X36*Debts!D13/12,0)</f>
        <v/>
      </c>
      <c r="Z36" s="159" t="n">
        <v>0</v>
      </c>
      <c r="AA36" s="152">
        <f>MAX(0,X36+Y36-Z36)</f>
        <v/>
      </c>
      <c r="AB36" s="152">
        <f>AE35</f>
        <v/>
      </c>
      <c r="AC36" s="159">
        <f>IF(AB36&gt;0.005,AB36*Debts!D14/12,0)</f>
        <v/>
      </c>
      <c r="AD36" s="159" t="n">
        <v>0</v>
      </c>
      <c r="AE36" s="152">
        <f>MAX(0,AB36+AC36-AD36)</f>
        <v/>
      </c>
      <c r="AF36" s="152">
        <f>AI35</f>
        <v/>
      </c>
      <c r="AG36" s="159">
        <f>IF(AF36&gt;0.005,AF36*Debts!D15/12,0)</f>
        <v/>
      </c>
      <c r="AH36" s="159" t="n">
        <v>0</v>
      </c>
      <c r="AI36" s="152">
        <f>MAX(0,AF36+AG36-AH36)</f>
        <v/>
      </c>
      <c r="AJ36" s="152">
        <f>AM35</f>
        <v/>
      </c>
      <c r="AK36" s="159">
        <f>IF(AJ36&gt;0.005,AJ36*Debts!D16/12,0)</f>
        <v/>
      </c>
      <c r="AL36" s="159" t="n">
        <v>0</v>
      </c>
      <c r="AM36" s="152">
        <f>MAX(0,AJ36+AK36-AL36)</f>
        <v/>
      </c>
      <c r="AN36" s="152">
        <f>AQ35</f>
        <v/>
      </c>
      <c r="AO36" s="159">
        <f>IF(AN36&gt;0.005,AN36*Debts!D17/12,0)</f>
        <v/>
      </c>
      <c r="AP36" s="159" t="n">
        <v>0</v>
      </c>
      <c r="AQ36" s="152">
        <f>MAX(0,AN36+AO36-AP36)</f>
        <v/>
      </c>
      <c r="AR36" s="152">
        <f>AU35</f>
        <v/>
      </c>
      <c r="AS36" s="159">
        <f>IF(AR36&gt;0.005,AR36*Debts!D18/12,0)</f>
        <v/>
      </c>
      <c r="AT36" s="159" t="n">
        <v>0</v>
      </c>
      <c r="AU36" s="152">
        <f>MAX(0,AR36+AS36-AT36)</f>
        <v/>
      </c>
      <c r="AV36" s="152">
        <f>AY35</f>
        <v/>
      </c>
      <c r="AW36" s="159">
        <f>IF(AV36&gt;0.005,AV36*Debts!D19/12,0)</f>
        <v/>
      </c>
      <c r="AX36" s="159" t="n">
        <v>0</v>
      </c>
      <c r="AY36" s="152">
        <f>MAX(0,AV36+AW36-AX36)</f>
        <v/>
      </c>
      <c r="AZ36" s="152">
        <f>BC35</f>
        <v/>
      </c>
      <c r="BA36" s="159">
        <f>IF(AZ36&gt;0.005,AZ36*Debts!D20/12,0)</f>
        <v/>
      </c>
      <c r="BB36" s="159" t="n">
        <v>0</v>
      </c>
      <c r="BC36" s="152">
        <f>MAX(0,AZ36+BA36-BB36)</f>
        <v/>
      </c>
      <c r="BD36" s="152">
        <f>BG35</f>
        <v/>
      </c>
      <c r="BE36" s="159">
        <f>IF(BD36&gt;0.005,BD36*Debts!D21/12,0)</f>
        <v/>
      </c>
      <c r="BF36" s="159" t="n">
        <v>0</v>
      </c>
      <c r="BG36" s="152">
        <f>MAX(0,BD36+BE36-BF36)</f>
        <v/>
      </c>
      <c r="BH36" s="152">
        <f>BK35</f>
        <v/>
      </c>
      <c r="BI36" s="159">
        <f>IF(BH36&gt;0.005,BH36*Debts!D22/12,0)</f>
        <v/>
      </c>
      <c r="BJ36" s="159" t="n">
        <v>0</v>
      </c>
      <c r="BK36" s="152">
        <f>MAX(0,BH36+BI36-BJ36)</f>
        <v/>
      </c>
      <c r="BL36" s="152">
        <f>BO35</f>
        <v/>
      </c>
      <c r="BM36" s="159">
        <f>IF(BL36&gt;0.005,BL36*Debts!D23/12,0)</f>
        <v/>
      </c>
      <c r="BN36" s="159" t="n">
        <v>0</v>
      </c>
      <c r="BO36" s="152">
        <f>MAX(0,BL36+BM36-BN36)</f>
        <v/>
      </c>
      <c r="BP36" s="152">
        <f>BS35</f>
        <v/>
      </c>
      <c r="BQ36" s="159">
        <f>IF(BP36&gt;0.005,BP36*Debts!D24/12,0)</f>
        <v/>
      </c>
      <c r="BR36" s="159" t="n">
        <v>0</v>
      </c>
      <c r="BS36" s="152">
        <f>MAX(0,BP36+BQ36-BR36)</f>
        <v/>
      </c>
      <c r="BT36" s="152">
        <f>BW35</f>
        <v/>
      </c>
      <c r="BU36" s="159">
        <f>IF(BT36&gt;0.005,BT36*Debts!D25/12,0)</f>
        <v/>
      </c>
      <c r="BV36" s="159" t="n">
        <v>0</v>
      </c>
      <c r="BW36" s="152">
        <f>MAX(0,BT36+BU36-BV36)</f>
        <v/>
      </c>
      <c r="BX36" s="152">
        <f>CA35</f>
        <v/>
      </c>
      <c r="BY36" s="159">
        <f>IF(BX36&gt;0.005,BX36*Debts!D26/12,0)</f>
        <v/>
      </c>
      <c r="BZ36" s="159" t="n">
        <v>0</v>
      </c>
      <c r="CA36" s="152">
        <f>MAX(0,BX36+BY36-BZ36)</f>
        <v/>
      </c>
      <c r="CB36" s="152">
        <f>CE35</f>
        <v/>
      </c>
      <c r="CC36" s="159">
        <f>IF(CB36&gt;0.005,CB36*Debts!D27/12,0)</f>
        <v/>
      </c>
      <c r="CD36" s="159" t="n">
        <v>0</v>
      </c>
      <c r="CE36" s="152">
        <f>MAX(0,CB36+CC36-CD36)</f>
        <v/>
      </c>
      <c r="CF36" s="152">
        <f>G36+K36+O36+S36+W36+AA36+AE36+AI36+AM36+AQ36+AU36+AY36+BC36+BG36+BK36+BO36+BS36+BW36+CA36+CE36</f>
        <v/>
      </c>
      <c r="CG36" s="159">
        <f>E36+I36+M36+Q36+U36+Y36+AC36+AG36+AK36+AO36+AS36+AW36+BA36+BE36+BI36+BM36+BQ36+BU36+BY36+CC36</f>
        <v/>
      </c>
      <c r="CH36" s="152">
        <f>CH35+CG36</f>
        <v/>
      </c>
      <c r="CI36" s="148" t="n"/>
      <c r="CJ36" s="148" t="n"/>
    </row>
    <row r="37" ht="15" customHeight="1" s="83">
      <c r="A37" s="148" t="n"/>
      <c r="B37" s="158" t="n">
        <v>33</v>
      </c>
      <c r="C37" s="152">
        <f>F37+J37+N37+R37+V37+Z37+AD37+AH37+AL37+AP37+AT37+AX37+BB37+BF37+BJ37+BN37+BR37+BV37+BZ37+CD37</f>
        <v/>
      </c>
      <c r="D37" s="152">
        <f>G36</f>
        <v/>
      </c>
      <c r="E37" s="159">
        <f>IF(D37&gt;0.005,D37*Debts!D8/12,0)</f>
        <v/>
      </c>
      <c r="F37" s="159" t="n">
        <v>0</v>
      </c>
      <c r="G37" s="152">
        <f>MAX(0,D37+E37-F37)</f>
        <v/>
      </c>
      <c r="H37" s="152">
        <f>K36</f>
        <v/>
      </c>
      <c r="I37" s="159">
        <f>IF(H37&gt;0.005,H37*Debts!D9/12,0)</f>
        <v/>
      </c>
      <c r="J37" s="159" t="n">
        <v>0</v>
      </c>
      <c r="K37" s="152">
        <f>MAX(0,H37+I37-J37)</f>
        <v/>
      </c>
      <c r="L37" s="152">
        <f>O36</f>
        <v/>
      </c>
      <c r="M37" s="159">
        <f>IF(L37&gt;0.005,L37*Debts!D10/12,0)</f>
        <v/>
      </c>
      <c r="N37" s="159" t="n">
        <v>0</v>
      </c>
      <c r="O37" s="152">
        <f>MAX(0,L37+M37-N37)</f>
        <v/>
      </c>
      <c r="P37" s="152">
        <f>S36</f>
        <v/>
      </c>
      <c r="Q37" s="159">
        <f>IF(P37&gt;0.005,P37*Debts!D11/12,0)</f>
        <v/>
      </c>
      <c r="R37" s="159" t="n">
        <v>0</v>
      </c>
      <c r="S37" s="152">
        <f>MAX(0,P37+Q37-R37)</f>
        <v/>
      </c>
      <c r="T37" s="152">
        <f>W36</f>
        <v/>
      </c>
      <c r="U37" s="159">
        <f>IF(T37&gt;0.005,T37*Debts!D12/12,0)</f>
        <v/>
      </c>
      <c r="V37" s="159" t="n">
        <v>0</v>
      </c>
      <c r="W37" s="152">
        <f>MAX(0,T37+U37-V37)</f>
        <v/>
      </c>
      <c r="X37" s="152">
        <f>AA36</f>
        <v/>
      </c>
      <c r="Y37" s="159">
        <f>IF(X37&gt;0.005,X37*Debts!D13/12,0)</f>
        <v/>
      </c>
      <c r="Z37" s="159" t="n">
        <v>0</v>
      </c>
      <c r="AA37" s="152">
        <f>MAX(0,X37+Y37-Z37)</f>
        <v/>
      </c>
      <c r="AB37" s="152">
        <f>AE36</f>
        <v/>
      </c>
      <c r="AC37" s="159">
        <f>IF(AB37&gt;0.005,AB37*Debts!D14/12,0)</f>
        <v/>
      </c>
      <c r="AD37" s="159" t="n">
        <v>0</v>
      </c>
      <c r="AE37" s="152">
        <f>MAX(0,AB37+AC37-AD37)</f>
        <v/>
      </c>
      <c r="AF37" s="152">
        <f>AI36</f>
        <v/>
      </c>
      <c r="AG37" s="159">
        <f>IF(AF37&gt;0.005,AF37*Debts!D15/12,0)</f>
        <v/>
      </c>
      <c r="AH37" s="159" t="n">
        <v>0</v>
      </c>
      <c r="AI37" s="152">
        <f>MAX(0,AF37+AG37-AH37)</f>
        <v/>
      </c>
      <c r="AJ37" s="152">
        <f>AM36</f>
        <v/>
      </c>
      <c r="AK37" s="159">
        <f>IF(AJ37&gt;0.005,AJ37*Debts!D16/12,0)</f>
        <v/>
      </c>
      <c r="AL37" s="159" t="n">
        <v>0</v>
      </c>
      <c r="AM37" s="152">
        <f>MAX(0,AJ37+AK37-AL37)</f>
        <v/>
      </c>
      <c r="AN37" s="152">
        <f>AQ36</f>
        <v/>
      </c>
      <c r="AO37" s="159">
        <f>IF(AN37&gt;0.005,AN37*Debts!D17/12,0)</f>
        <v/>
      </c>
      <c r="AP37" s="159" t="n">
        <v>0</v>
      </c>
      <c r="AQ37" s="152">
        <f>MAX(0,AN37+AO37-AP37)</f>
        <v/>
      </c>
      <c r="AR37" s="152">
        <f>AU36</f>
        <v/>
      </c>
      <c r="AS37" s="159">
        <f>IF(AR37&gt;0.005,AR37*Debts!D18/12,0)</f>
        <v/>
      </c>
      <c r="AT37" s="159" t="n">
        <v>0</v>
      </c>
      <c r="AU37" s="152">
        <f>MAX(0,AR37+AS37-AT37)</f>
        <v/>
      </c>
      <c r="AV37" s="152">
        <f>AY36</f>
        <v/>
      </c>
      <c r="AW37" s="159">
        <f>IF(AV37&gt;0.005,AV37*Debts!D19/12,0)</f>
        <v/>
      </c>
      <c r="AX37" s="159" t="n">
        <v>0</v>
      </c>
      <c r="AY37" s="152">
        <f>MAX(0,AV37+AW37-AX37)</f>
        <v/>
      </c>
      <c r="AZ37" s="152">
        <f>BC36</f>
        <v/>
      </c>
      <c r="BA37" s="159">
        <f>IF(AZ37&gt;0.005,AZ37*Debts!D20/12,0)</f>
        <v/>
      </c>
      <c r="BB37" s="159" t="n">
        <v>0</v>
      </c>
      <c r="BC37" s="152">
        <f>MAX(0,AZ37+BA37-BB37)</f>
        <v/>
      </c>
      <c r="BD37" s="152">
        <f>BG36</f>
        <v/>
      </c>
      <c r="BE37" s="159">
        <f>IF(BD37&gt;0.005,BD37*Debts!D21/12,0)</f>
        <v/>
      </c>
      <c r="BF37" s="159" t="n">
        <v>0</v>
      </c>
      <c r="BG37" s="152">
        <f>MAX(0,BD37+BE37-BF37)</f>
        <v/>
      </c>
      <c r="BH37" s="152">
        <f>BK36</f>
        <v/>
      </c>
      <c r="BI37" s="159">
        <f>IF(BH37&gt;0.005,BH37*Debts!D22/12,0)</f>
        <v/>
      </c>
      <c r="BJ37" s="159" t="n">
        <v>0</v>
      </c>
      <c r="BK37" s="152">
        <f>MAX(0,BH37+BI37-BJ37)</f>
        <v/>
      </c>
      <c r="BL37" s="152">
        <f>BO36</f>
        <v/>
      </c>
      <c r="BM37" s="159">
        <f>IF(BL37&gt;0.005,BL37*Debts!D23/12,0)</f>
        <v/>
      </c>
      <c r="BN37" s="159" t="n">
        <v>0</v>
      </c>
      <c r="BO37" s="152">
        <f>MAX(0,BL37+BM37-BN37)</f>
        <v/>
      </c>
      <c r="BP37" s="152">
        <f>BS36</f>
        <v/>
      </c>
      <c r="BQ37" s="159">
        <f>IF(BP37&gt;0.005,BP37*Debts!D24/12,0)</f>
        <v/>
      </c>
      <c r="BR37" s="159" t="n">
        <v>0</v>
      </c>
      <c r="BS37" s="152">
        <f>MAX(0,BP37+BQ37-BR37)</f>
        <v/>
      </c>
      <c r="BT37" s="152">
        <f>BW36</f>
        <v/>
      </c>
      <c r="BU37" s="159">
        <f>IF(BT37&gt;0.005,BT37*Debts!D25/12,0)</f>
        <v/>
      </c>
      <c r="BV37" s="159" t="n">
        <v>0</v>
      </c>
      <c r="BW37" s="152">
        <f>MAX(0,BT37+BU37-BV37)</f>
        <v/>
      </c>
      <c r="BX37" s="152">
        <f>CA36</f>
        <v/>
      </c>
      <c r="BY37" s="159">
        <f>IF(BX37&gt;0.005,BX37*Debts!D26/12,0)</f>
        <v/>
      </c>
      <c r="BZ37" s="159" t="n">
        <v>0</v>
      </c>
      <c r="CA37" s="152">
        <f>MAX(0,BX37+BY37-BZ37)</f>
        <v/>
      </c>
      <c r="CB37" s="152">
        <f>CE36</f>
        <v/>
      </c>
      <c r="CC37" s="159">
        <f>IF(CB37&gt;0.005,CB37*Debts!D27/12,0)</f>
        <v/>
      </c>
      <c r="CD37" s="159" t="n">
        <v>0</v>
      </c>
      <c r="CE37" s="152">
        <f>MAX(0,CB37+CC37-CD37)</f>
        <v/>
      </c>
      <c r="CF37" s="152">
        <f>G37+K37+O37+S37+W37+AA37+AE37+AI37+AM37+AQ37+AU37+AY37+BC37+BG37+BK37+BO37+BS37+BW37+CA37+CE37</f>
        <v/>
      </c>
      <c r="CG37" s="159">
        <f>E37+I37+M37+Q37+U37+Y37+AC37+AG37+AK37+AO37+AS37+AW37+BA37+BE37+BI37+BM37+BQ37+BU37+BY37+CC37</f>
        <v/>
      </c>
      <c r="CH37" s="152">
        <f>CH36+CG37</f>
        <v/>
      </c>
      <c r="CI37" s="148" t="n"/>
      <c r="CJ37" s="148" t="n"/>
    </row>
    <row r="38" ht="15" customHeight="1" s="83">
      <c r="A38" s="148" t="n"/>
      <c r="B38" s="158" t="n">
        <v>34</v>
      </c>
      <c r="C38" s="152">
        <f>F38+J38+N38+R38+V38+Z38+AD38+AH38+AL38+AP38+AT38+AX38+BB38+BF38+BJ38+BN38+BR38+BV38+BZ38+CD38</f>
        <v/>
      </c>
      <c r="D38" s="152">
        <f>G37</f>
        <v/>
      </c>
      <c r="E38" s="159">
        <f>IF(D38&gt;0.005,D38*Debts!D8/12,0)</f>
        <v/>
      </c>
      <c r="F38" s="159" t="n">
        <v>0</v>
      </c>
      <c r="G38" s="152">
        <f>MAX(0,D38+E38-F38)</f>
        <v/>
      </c>
      <c r="H38" s="152">
        <f>K37</f>
        <v/>
      </c>
      <c r="I38" s="159">
        <f>IF(H38&gt;0.005,H38*Debts!D9/12,0)</f>
        <v/>
      </c>
      <c r="J38" s="159" t="n">
        <v>0</v>
      </c>
      <c r="K38" s="152">
        <f>MAX(0,H38+I38-J38)</f>
        <v/>
      </c>
      <c r="L38" s="152">
        <f>O37</f>
        <v/>
      </c>
      <c r="M38" s="159">
        <f>IF(L38&gt;0.005,L38*Debts!D10/12,0)</f>
        <v/>
      </c>
      <c r="N38" s="159" t="n">
        <v>0</v>
      </c>
      <c r="O38" s="152">
        <f>MAX(0,L38+M38-N38)</f>
        <v/>
      </c>
      <c r="P38" s="152">
        <f>S37</f>
        <v/>
      </c>
      <c r="Q38" s="159">
        <f>IF(P38&gt;0.005,P38*Debts!D11/12,0)</f>
        <v/>
      </c>
      <c r="R38" s="159" t="n">
        <v>0</v>
      </c>
      <c r="S38" s="152">
        <f>MAX(0,P38+Q38-R38)</f>
        <v/>
      </c>
      <c r="T38" s="152">
        <f>W37</f>
        <v/>
      </c>
      <c r="U38" s="159">
        <f>IF(T38&gt;0.005,T38*Debts!D12/12,0)</f>
        <v/>
      </c>
      <c r="V38" s="159" t="n">
        <v>0</v>
      </c>
      <c r="W38" s="152">
        <f>MAX(0,T38+U38-V38)</f>
        <v/>
      </c>
      <c r="X38" s="152">
        <f>AA37</f>
        <v/>
      </c>
      <c r="Y38" s="159">
        <f>IF(X38&gt;0.005,X38*Debts!D13/12,0)</f>
        <v/>
      </c>
      <c r="Z38" s="159" t="n">
        <v>0</v>
      </c>
      <c r="AA38" s="152">
        <f>MAX(0,X38+Y38-Z38)</f>
        <v/>
      </c>
      <c r="AB38" s="152">
        <f>AE37</f>
        <v/>
      </c>
      <c r="AC38" s="159">
        <f>IF(AB38&gt;0.005,AB38*Debts!D14/12,0)</f>
        <v/>
      </c>
      <c r="AD38" s="159" t="n">
        <v>0</v>
      </c>
      <c r="AE38" s="152">
        <f>MAX(0,AB38+AC38-AD38)</f>
        <v/>
      </c>
      <c r="AF38" s="152">
        <f>AI37</f>
        <v/>
      </c>
      <c r="AG38" s="159">
        <f>IF(AF38&gt;0.005,AF38*Debts!D15/12,0)</f>
        <v/>
      </c>
      <c r="AH38" s="159" t="n">
        <v>0</v>
      </c>
      <c r="AI38" s="152">
        <f>MAX(0,AF38+AG38-AH38)</f>
        <v/>
      </c>
      <c r="AJ38" s="152">
        <f>AM37</f>
        <v/>
      </c>
      <c r="AK38" s="159">
        <f>IF(AJ38&gt;0.005,AJ38*Debts!D16/12,0)</f>
        <v/>
      </c>
      <c r="AL38" s="159" t="n">
        <v>0</v>
      </c>
      <c r="AM38" s="152">
        <f>MAX(0,AJ38+AK38-AL38)</f>
        <v/>
      </c>
      <c r="AN38" s="152">
        <f>AQ37</f>
        <v/>
      </c>
      <c r="AO38" s="159">
        <f>IF(AN38&gt;0.005,AN38*Debts!D17/12,0)</f>
        <v/>
      </c>
      <c r="AP38" s="159" t="n">
        <v>0</v>
      </c>
      <c r="AQ38" s="152">
        <f>MAX(0,AN38+AO38-AP38)</f>
        <v/>
      </c>
      <c r="AR38" s="152">
        <f>AU37</f>
        <v/>
      </c>
      <c r="AS38" s="159">
        <f>IF(AR38&gt;0.005,AR38*Debts!D18/12,0)</f>
        <v/>
      </c>
      <c r="AT38" s="159" t="n">
        <v>0</v>
      </c>
      <c r="AU38" s="152">
        <f>MAX(0,AR38+AS38-AT38)</f>
        <v/>
      </c>
      <c r="AV38" s="152">
        <f>AY37</f>
        <v/>
      </c>
      <c r="AW38" s="159">
        <f>IF(AV38&gt;0.005,AV38*Debts!D19/12,0)</f>
        <v/>
      </c>
      <c r="AX38" s="159" t="n">
        <v>0</v>
      </c>
      <c r="AY38" s="152">
        <f>MAX(0,AV38+AW38-AX38)</f>
        <v/>
      </c>
      <c r="AZ38" s="152">
        <f>BC37</f>
        <v/>
      </c>
      <c r="BA38" s="159">
        <f>IF(AZ38&gt;0.005,AZ38*Debts!D20/12,0)</f>
        <v/>
      </c>
      <c r="BB38" s="159" t="n">
        <v>0</v>
      </c>
      <c r="BC38" s="152">
        <f>MAX(0,AZ38+BA38-BB38)</f>
        <v/>
      </c>
      <c r="BD38" s="152">
        <f>BG37</f>
        <v/>
      </c>
      <c r="BE38" s="159">
        <f>IF(BD38&gt;0.005,BD38*Debts!D21/12,0)</f>
        <v/>
      </c>
      <c r="BF38" s="159" t="n">
        <v>0</v>
      </c>
      <c r="BG38" s="152">
        <f>MAX(0,BD38+BE38-BF38)</f>
        <v/>
      </c>
      <c r="BH38" s="152">
        <f>BK37</f>
        <v/>
      </c>
      <c r="BI38" s="159">
        <f>IF(BH38&gt;0.005,BH38*Debts!D22/12,0)</f>
        <v/>
      </c>
      <c r="BJ38" s="159" t="n">
        <v>0</v>
      </c>
      <c r="BK38" s="152">
        <f>MAX(0,BH38+BI38-BJ38)</f>
        <v/>
      </c>
      <c r="BL38" s="152">
        <f>BO37</f>
        <v/>
      </c>
      <c r="BM38" s="159">
        <f>IF(BL38&gt;0.005,BL38*Debts!D23/12,0)</f>
        <v/>
      </c>
      <c r="BN38" s="159" t="n">
        <v>0</v>
      </c>
      <c r="BO38" s="152">
        <f>MAX(0,BL38+BM38-BN38)</f>
        <v/>
      </c>
      <c r="BP38" s="152">
        <f>BS37</f>
        <v/>
      </c>
      <c r="BQ38" s="159">
        <f>IF(BP38&gt;0.005,BP38*Debts!D24/12,0)</f>
        <v/>
      </c>
      <c r="BR38" s="159" t="n">
        <v>0</v>
      </c>
      <c r="BS38" s="152">
        <f>MAX(0,BP38+BQ38-BR38)</f>
        <v/>
      </c>
      <c r="BT38" s="152">
        <f>BW37</f>
        <v/>
      </c>
      <c r="BU38" s="159">
        <f>IF(BT38&gt;0.005,BT38*Debts!D25/12,0)</f>
        <v/>
      </c>
      <c r="BV38" s="159" t="n">
        <v>0</v>
      </c>
      <c r="BW38" s="152">
        <f>MAX(0,BT38+BU38-BV38)</f>
        <v/>
      </c>
      <c r="BX38" s="152">
        <f>CA37</f>
        <v/>
      </c>
      <c r="BY38" s="159">
        <f>IF(BX38&gt;0.005,BX38*Debts!D26/12,0)</f>
        <v/>
      </c>
      <c r="BZ38" s="159" t="n">
        <v>0</v>
      </c>
      <c r="CA38" s="152">
        <f>MAX(0,BX38+BY38-BZ38)</f>
        <v/>
      </c>
      <c r="CB38" s="152">
        <f>CE37</f>
        <v/>
      </c>
      <c r="CC38" s="159">
        <f>IF(CB38&gt;0.005,CB38*Debts!D27/12,0)</f>
        <v/>
      </c>
      <c r="CD38" s="159" t="n">
        <v>0</v>
      </c>
      <c r="CE38" s="152">
        <f>MAX(0,CB38+CC38-CD38)</f>
        <v/>
      </c>
      <c r="CF38" s="152">
        <f>G38+K38+O38+S38+W38+AA38+AE38+AI38+AM38+AQ38+AU38+AY38+BC38+BG38+BK38+BO38+BS38+BW38+CA38+CE38</f>
        <v/>
      </c>
      <c r="CG38" s="159">
        <f>E38+I38+M38+Q38+U38+Y38+AC38+AG38+AK38+AO38+AS38+AW38+BA38+BE38+BI38+BM38+BQ38+BU38+BY38+CC38</f>
        <v/>
      </c>
      <c r="CH38" s="152">
        <f>CH37+CG38</f>
        <v/>
      </c>
      <c r="CI38" s="148" t="n"/>
      <c r="CJ38" s="148" t="n"/>
    </row>
    <row r="39" ht="15" customHeight="1" s="83">
      <c r="A39" s="148" t="n"/>
      <c r="B39" s="158" t="n">
        <v>35</v>
      </c>
      <c r="C39" s="152">
        <f>F39+J39+N39+R39+V39+Z39+AD39+AH39+AL39+AP39+AT39+AX39+BB39+BF39+BJ39+BN39+BR39+BV39+BZ39+CD39</f>
        <v/>
      </c>
      <c r="D39" s="152">
        <f>G38</f>
        <v/>
      </c>
      <c r="E39" s="159">
        <f>IF(D39&gt;0.005,D39*Debts!D8/12,0)</f>
        <v/>
      </c>
      <c r="F39" s="159" t="n">
        <v>0</v>
      </c>
      <c r="G39" s="152">
        <f>MAX(0,D39+E39-F39)</f>
        <v/>
      </c>
      <c r="H39" s="152">
        <f>K38</f>
        <v/>
      </c>
      <c r="I39" s="159">
        <f>IF(H39&gt;0.005,H39*Debts!D9/12,0)</f>
        <v/>
      </c>
      <c r="J39" s="159" t="n">
        <v>0</v>
      </c>
      <c r="K39" s="152">
        <f>MAX(0,H39+I39-J39)</f>
        <v/>
      </c>
      <c r="L39" s="152">
        <f>O38</f>
        <v/>
      </c>
      <c r="M39" s="159">
        <f>IF(L39&gt;0.005,L39*Debts!D10/12,0)</f>
        <v/>
      </c>
      <c r="N39" s="159" t="n">
        <v>0</v>
      </c>
      <c r="O39" s="152">
        <f>MAX(0,L39+M39-N39)</f>
        <v/>
      </c>
      <c r="P39" s="152">
        <f>S38</f>
        <v/>
      </c>
      <c r="Q39" s="159">
        <f>IF(P39&gt;0.005,P39*Debts!D11/12,0)</f>
        <v/>
      </c>
      <c r="R39" s="159" t="n">
        <v>0</v>
      </c>
      <c r="S39" s="152">
        <f>MAX(0,P39+Q39-R39)</f>
        <v/>
      </c>
      <c r="T39" s="152">
        <f>W38</f>
        <v/>
      </c>
      <c r="U39" s="159">
        <f>IF(T39&gt;0.005,T39*Debts!D12/12,0)</f>
        <v/>
      </c>
      <c r="V39" s="159" t="n">
        <v>0</v>
      </c>
      <c r="W39" s="152">
        <f>MAX(0,T39+U39-V39)</f>
        <v/>
      </c>
      <c r="X39" s="152">
        <f>AA38</f>
        <v/>
      </c>
      <c r="Y39" s="159">
        <f>IF(X39&gt;0.005,X39*Debts!D13/12,0)</f>
        <v/>
      </c>
      <c r="Z39" s="159" t="n">
        <v>0</v>
      </c>
      <c r="AA39" s="152">
        <f>MAX(0,X39+Y39-Z39)</f>
        <v/>
      </c>
      <c r="AB39" s="152">
        <f>AE38</f>
        <v/>
      </c>
      <c r="AC39" s="159">
        <f>IF(AB39&gt;0.005,AB39*Debts!D14/12,0)</f>
        <v/>
      </c>
      <c r="AD39" s="159" t="n">
        <v>0</v>
      </c>
      <c r="AE39" s="152">
        <f>MAX(0,AB39+AC39-AD39)</f>
        <v/>
      </c>
      <c r="AF39" s="152">
        <f>AI38</f>
        <v/>
      </c>
      <c r="AG39" s="159">
        <f>IF(AF39&gt;0.005,AF39*Debts!D15/12,0)</f>
        <v/>
      </c>
      <c r="AH39" s="159" t="n">
        <v>0</v>
      </c>
      <c r="AI39" s="152">
        <f>MAX(0,AF39+AG39-AH39)</f>
        <v/>
      </c>
      <c r="AJ39" s="152">
        <f>AM38</f>
        <v/>
      </c>
      <c r="AK39" s="159">
        <f>IF(AJ39&gt;0.005,AJ39*Debts!D16/12,0)</f>
        <v/>
      </c>
      <c r="AL39" s="159" t="n">
        <v>0</v>
      </c>
      <c r="AM39" s="152">
        <f>MAX(0,AJ39+AK39-AL39)</f>
        <v/>
      </c>
      <c r="AN39" s="152">
        <f>AQ38</f>
        <v/>
      </c>
      <c r="AO39" s="159">
        <f>IF(AN39&gt;0.005,AN39*Debts!D17/12,0)</f>
        <v/>
      </c>
      <c r="AP39" s="159" t="n">
        <v>0</v>
      </c>
      <c r="AQ39" s="152">
        <f>MAX(0,AN39+AO39-AP39)</f>
        <v/>
      </c>
      <c r="AR39" s="152">
        <f>AU38</f>
        <v/>
      </c>
      <c r="AS39" s="159">
        <f>IF(AR39&gt;0.005,AR39*Debts!D18/12,0)</f>
        <v/>
      </c>
      <c r="AT39" s="159" t="n">
        <v>0</v>
      </c>
      <c r="AU39" s="152">
        <f>MAX(0,AR39+AS39-AT39)</f>
        <v/>
      </c>
      <c r="AV39" s="152">
        <f>AY38</f>
        <v/>
      </c>
      <c r="AW39" s="159">
        <f>IF(AV39&gt;0.005,AV39*Debts!D19/12,0)</f>
        <v/>
      </c>
      <c r="AX39" s="159" t="n">
        <v>0</v>
      </c>
      <c r="AY39" s="152">
        <f>MAX(0,AV39+AW39-AX39)</f>
        <v/>
      </c>
      <c r="AZ39" s="152">
        <f>BC38</f>
        <v/>
      </c>
      <c r="BA39" s="159">
        <f>IF(AZ39&gt;0.005,AZ39*Debts!D20/12,0)</f>
        <v/>
      </c>
      <c r="BB39" s="159" t="n">
        <v>0</v>
      </c>
      <c r="BC39" s="152">
        <f>MAX(0,AZ39+BA39-BB39)</f>
        <v/>
      </c>
      <c r="BD39" s="152">
        <f>BG38</f>
        <v/>
      </c>
      <c r="BE39" s="159">
        <f>IF(BD39&gt;0.005,BD39*Debts!D21/12,0)</f>
        <v/>
      </c>
      <c r="BF39" s="159" t="n">
        <v>0</v>
      </c>
      <c r="BG39" s="152">
        <f>MAX(0,BD39+BE39-BF39)</f>
        <v/>
      </c>
      <c r="BH39" s="152">
        <f>BK38</f>
        <v/>
      </c>
      <c r="BI39" s="159">
        <f>IF(BH39&gt;0.005,BH39*Debts!D22/12,0)</f>
        <v/>
      </c>
      <c r="BJ39" s="159" t="n">
        <v>0</v>
      </c>
      <c r="BK39" s="152">
        <f>MAX(0,BH39+BI39-BJ39)</f>
        <v/>
      </c>
      <c r="BL39" s="152">
        <f>BO38</f>
        <v/>
      </c>
      <c r="BM39" s="159">
        <f>IF(BL39&gt;0.005,BL39*Debts!D23/12,0)</f>
        <v/>
      </c>
      <c r="BN39" s="159" t="n">
        <v>0</v>
      </c>
      <c r="BO39" s="152">
        <f>MAX(0,BL39+BM39-BN39)</f>
        <v/>
      </c>
      <c r="BP39" s="152">
        <f>BS38</f>
        <v/>
      </c>
      <c r="BQ39" s="159">
        <f>IF(BP39&gt;0.005,BP39*Debts!D24/12,0)</f>
        <v/>
      </c>
      <c r="BR39" s="159" t="n">
        <v>0</v>
      </c>
      <c r="BS39" s="152">
        <f>MAX(0,BP39+BQ39-BR39)</f>
        <v/>
      </c>
      <c r="BT39" s="152">
        <f>BW38</f>
        <v/>
      </c>
      <c r="BU39" s="159">
        <f>IF(BT39&gt;0.005,BT39*Debts!D25/12,0)</f>
        <v/>
      </c>
      <c r="BV39" s="159" t="n">
        <v>0</v>
      </c>
      <c r="BW39" s="152">
        <f>MAX(0,BT39+BU39-BV39)</f>
        <v/>
      </c>
      <c r="BX39" s="152">
        <f>CA38</f>
        <v/>
      </c>
      <c r="BY39" s="159">
        <f>IF(BX39&gt;0.005,BX39*Debts!D26/12,0)</f>
        <v/>
      </c>
      <c r="BZ39" s="159" t="n">
        <v>0</v>
      </c>
      <c r="CA39" s="152">
        <f>MAX(0,BX39+BY39-BZ39)</f>
        <v/>
      </c>
      <c r="CB39" s="152">
        <f>CE38</f>
        <v/>
      </c>
      <c r="CC39" s="159">
        <f>IF(CB39&gt;0.005,CB39*Debts!D27/12,0)</f>
        <v/>
      </c>
      <c r="CD39" s="159" t="n">
        <v>0</v>
      </c>
      <c r="CE39" s="152">
        <f>MAX(0,CB39+CC39-CD39)</f>
        <v/>
      </c>
      <c r="CF39" s="152">
        <f>G39+K39+O39+S39+W39+AA39+AE39+AI39+AM39+AQ39+AU39+AY39+BC39+BG39+BK39+BO39+BS39+BW39+CA39+CE39</f>
        <v/>
      </c>
      <c r="CG39" s="159">
        <f>E39+I39+M39+Q39+U39+Y39+AC39+AG39+AK39+AO39+AS39+AW39+BA39+BE39+BI39+BM39+BQ39+BU39+BY39+CC39</f>
        <v/>
      </c>
      <c r="CH39" s="152">
        <f>CH38+CG39</f>
        <v/>
      </c>
      <c r="CI39" s="148" t="n"/>
      <c r="CJ39" s="148" t="n"/>
    </row>
    <row r="40" ht="15" customHeight="1" s="83">
      <c r="A40" s="148" t="n"/>
      <c r="B40" s="158" t="n">
        <v>36</v>
      </c>
      <c r="C40" s="152">
        <f>F40+J40+N40+R40+V40+Z40+AD40+AH40+AL40+AP40+AT40+AX40+BB40+BF40+BJ40+BN40+BR40+BV40+BZ40+CD40</f>
        <v/>
      </c>
      <c r="D40" s="152">
        <f>G39</f>
        <v/>
      </c>
      <c r="E40" s="159">
        <f>IF(D40&gt;0.005,D40*Debts!D8/12,0)</f>
        <v/>
      </c>
      <c r="F40" s="159" t="n">
        <v>0</v>
      </c>
      <c r="G40" s="152">
        <f>MAX(0,D40+E40-F40)</f>
        <v/>
      </c>
      <c r="H40" s="152">
        <f>K39</f>
        <v/>
      </c>
      <c r="I40" s="159">
        <f>IF(H40&gt;0.005,H40*Debts!D9/12,0)</f>
        <v/>
      </c>
      <c r="J40" s="159" t="n">
        <v>0</v>
      </c>
      <c r="K40" s="152">
        <f>MAX(0,H40+I40-J40)</f>
        <v/>
      </c>
      <c r="L40" s="152">
        <f>O39</f>
        <v/>
      </c>
      <c r="M40" s="159">
        <f>IF(L40&gt;0.005,L40*Debts!D10/12,0)</f>
        <v/>
      </c>
      <c r="N40" s="159" t="n">
        <v>0</v>
      </c>
      <c r="O40" s="152">
        <f>MAX(0,L40+M40-N40)</f>
        <v/>
      </c>
      <c r="P40" s="152">
        <f>S39</f>
        <v/>
      </c>
      <c r="Q40" s="159">
        <f>IF(P40&gt;0.005,P40*Debts!D11/12,0)</f>
        <v/>
      </c>
      <c r="R40" s="159" t="n">
        <v>0</v>
      </c>
      <c r="S40" s="152">
        <f>MAX(0,P40+Q40-R40)</f>
        <v/>
      </c>
      <c r="T40" s="152">
        <f>W39</f>
        <v/>
      </c>
      <c r="U40" s="159">
        <f>IF(T40&gt;0.005,T40*Debts!D12/12,0)</f>
        <v/>
      </c>
      <c r="V40" s="159" t="n">
        <v>0</v>
      </c>
      <c r="W40" s="152">
        <f>MAX(0,T40+U40-V40)</f>
        <v/>
      </c>
      <c r="X40" s="152">
        <f>AA39</f>
        <v/>
      </c>
      <c r="Y40" s="159">
        <f>IF(X40&gt;0.005,X40*Debts!D13/12,0)</f>
        <v/>
      </c>
      <c r="Z40" s="159" t="n">
        <v>0</v>
      </c>
      <c r="AA40" s="152">
        <f>MAX(0,X40+Y40-Z40)</f>
        <v/>
      </c>
      <c r="AB40" s="152">
        <f>AE39</f>
        <v/>
      </c>
      <c r="AC40" s="159">
        <f>IF(AB40&gt;0.005,AB40*Debts!D14/12,0)</f>
        <v/>
      </c>
      <c r="AD40" s="159" t="n">
        <v>0</v>
      </c>
      <c r="AE40" s="152">
        <f>MAX(0,AB40+AC40-AD40)</f>
        <v/>
      </c>
      <c r="AF40" s="152">
        <f>AI39</f>
        <v/>
      </c>
      <c r="AG40" s="159">
        <f>IF(AF40&gt;0.005,AF40*Debts!D15/12,0)</f>
        <v/>
      </c>
      <c r="AH40" s="159" t="n">
        <v>0</v>
      </c>
      <c r="AI40" s="152">
        <f>MAX(0,AF40+AG40-AH40)</f>
        <v/>
      </c>
      <c r="AJ40" s="152">
        <f>AM39</f>
        <v/>
      </c>
      <c r="AK40" s="159">
        <f>IF(AJ40&gt;0.005,AJ40*Debts!D16/12,0)</f>
        <v/>
      </c>
      <c r="AL40" s="159" t="n">
        <v>0</v>
      </c>
      <c r="AM40" s="152">
        <f>MAX(0,AJ40+AK40-AL40)</f>
        <v/>
      </c>
      <c r="AN40" s="152">
        <f>AQ39</f>
        <v/>
      </c>
      <c r="AO40" s="159">
        <f>IF(AN40&gt;0.005,AN40*Debts!D17/12,0)</f>
        <v/>
      </c>
      <c r="AP40" s="159" t="n">
        <v>0</v>
      </c>
      <c r="AQ40" s="152">
        <f>MAX(0,AN40+AO40-AP40)</f>
        <v/>
      </c>
      <c r="AR40" s="152">
        <f>AU39</f>
        <v/>
      </c>
      <c r="AS40" s="159">
        <f>IF(AR40&gt;0.005,AR40*Debts!D18/12,0)</f>
        <v/>
      </c>
      <c r="AT40" s="159" t="n">
        <v>0</v>
      </c>
      <c r="AU40" s="152">
        <f>MAX(0,AR40+AS40-AT40)</f>
        <v/>
      </c>
      <c r="AV40" s="152">
        <f>AY39</f>
        <v/>
      </c>
      <c r="AW40" s="159">
        <f>IF(AV40&gt;0.005,AV40*Debts!D19/12,0)</f>
        <v/>
      </c>
      <c r="AX40" s="159" t="n">
        <v>0</v>
      </c>
      <c r="AY40" s="152">
        <f>MAX(0,AV40+AW40-AX40)</f>
        <v/>
      </c>
      <c r="AZ40" s="152">
        <f>BC39</f>
        <v/>
      </c>
      <c r="BA40" s="159">
        <f>IF(AZ40&gt;0.005,AZ40*Debts!D20/12,0)</f>
        <v/>
      </c>
      <c r="BB40" s="159" t="n">
        <v>0</v>
      </c>
      <c r="BC40" s="152">
        <f>MAX(0,AZ40+BA40-BB40)</f>
        <v/>
      </c>
      <c r="BD40" s="152">
        <f>BG39</f>
        <v/>
      </c>
      <c r="BE40" s="159">
        <f>IF(BD40&gt;0.005,BD40*Debts!D21/12,0)</f>
        <v/>
      </c>
      <c r="BF40" s="159" t="n">
        <v>0</v>
      </c>
      <c r="BG40" s="152">
        <f>MAX(0,BD40+BE40-BF40)</f>
        <v/>
      </c>
      <c r="BH40" s="152">
        <f>BK39</f>
        <v/>
      </c>
      <c r="BI40" s="159">
        <f>IF(BH40&gt;0.005,BH40*Debts!D22/12,0)</f>
        <v/>
      </c>
      <c r="BJ40" s="159" t="n">
        <v>0</v>
      </c>
      <c r="BK40" s="152">
        <f>MAX(0,BH40+BI40-BJ40)</f>
        <v/>
      </c>
      <c r="BL40" s="152">
        <f>BO39</f>
        <v/>
      </c>
      <c r="BM40" s="159">
        <f>IF(BL40&gt;0.005,BL40*Debts!D23/12,0)</f>
        <v/>
      </c>
      <c r="BN40" s="159" t="n">
        <v>0</v>
      </c>
      <c r="BO40" s="152">
        <f>MAX(0,BL40+BM40-BN40)</f>
        <v/>
      </c>
      <c r="BP40" s="152">
        <f>BS39</f>
        <v/>
      </c>
      <c r="BQ40" s="159">
        <f>IF(BP40&gt;0.005,BP40*Debts!D24/12,0)</f>
        <v/>
      </c>
      <c r="BR40" s="159" t="n">
        <v>0</v>
      </c>
      <c r="BS40" s="152">
        <f>MAX(0,BP40+BQ40-BR40)</f>
        <v/>
      </c>
      <c r="BT40" s="152">
        <f>BW39</f>
        <v/>
      </c>
      <c r="BU40" s="159">
        <f>IF(BT40&gt;0.005,BT40*Debts!D25/12,0)</f>
        <v/>
      </c>
      <c r="BV40" s="159" t="n">
        <v>0</v>
      </c>
      <c r="BW40" s="152">
        <f>MAX(0,BT40+BU40-BV40)</f>
        <v/>
      </c>
      <c r="BX40" s="152">
        <f>CA39</f>
        <v/>
      </c>
      <c r="BY40" s="159">
        <f>IF(BX40&gt;0.005,BX40*Debts!D26/12,0)</f>
        <v/>
      </c>
      <c r="BZ40" s="159" t="n">
        <v>0</v>
      </c>
      <c r="CA40" s="152">
        <f>MAX(0,BX40+BY40-BZ40)</f>
        <v/>
      </c>
      <c r="CB40" s="152">
        <f>CE39</f>
        <v/>
      </c>
      <c r="CC40" s="159">
        <f>IF(CB40&gt;0.005,CB40*Debts!D27/12,0)</f>
        <v/>
      </c>
      <c r="CD40" s="159" t="n">
        <v>0</v>
      </c>
      <c r="CE40" s="152">
        <f>MAX(0,CB40+CC40-CD40)</f>
        <v/>
      </c>
      <c r="CF40" s="152">
        <f>G40+K40+O40+S40+W40+AA40+AE40+AI40+AM40+AQ40+AU40+AY40+BC40+BG40+BK40+BO40+BS40+BW40+CA40+CE40</f>
        <v/>
      </c>
      <c r="CG40" s="159">
        <f>E40+I40+M40+Q40+U40+Y40+AC40+AG40+AK40+AO40+AS40+AW40+BA40+BE40+BI40+BM40+BQ40+BU40+BY40+CC40</f>
        <v/>
      </c>
      <c r="CH40" s="152">
        <f>CH39+CG40</f>
        <v/>
      </c>
      <c r="CI40" s="148" t="n"/>
      <c r="CJ40" s="148" t="n"/>
    </row>
    <row r="41" ht="15" customHeight="1" s="83">
      <c r="A41" s="148" t="n"/>
      <c r="B41" s="158" t="n">
        <v>37</v>
      </c>
      <c r="C41" s="152">
        <f>F41+J41+N41+R41+V41+Z41+AD41+AH41+AL41+AP41+AT41+AX41+BB41+BF41+BJ41+BN41+BR41+BV41+BZ41+CD41</f>
        <v/>
      </c>
      <c r="D41" s="152">
        <f>G40</f>
        <v/>
      </c>
      <c r="E41" s="159">
        <f>IF(D41&gt;0.005,D41*Debts!D8/12,0)</f>
        <v/>
      </c>
      <c r="F41" s="159" t="n">
        <v>0</v>
      </c>
      <c r="G41" s="152">
        <f>MAX(0,D41+E41-F41)</f>
        <v/>
      </c>
      <c r="H41" s="152">
        <f>K40</f>
        <v/>
      </c>
      <c r="I41" s="159">
        <f>IF(H41&gt;0.005,H41*Debts!D9/12,0)</f>
        <v/>
      </c>
      <c r="J41" s="159" t="n">
        <v>0</v>
      </c>
      <c r="K41" s="152">
        <f>MAX(0,H41+I41-J41)</f>
        <v/>
      </c>
      <c r="L41" s="152">
        <f>O40</f>
        <v/>
      </c>
      <c r="M41" s="159">
        <f>IF(L41&gt;0.005,L41*Debts!D10/12,0)</f>
        <v/>
      </c>
      <c r="N41" s="159" t="n">
        <v>0</v>
      </c>
      <c r="O41" s="152">
        <f>MAX(0,L41+M41-N41)</f>
        <v/>
      </c>
      <c r="P41" s="152">
        <f>S40</f>
        <v/>
      </c>
      <c r="Q41" s="159">
        <f>IF(P41&gt;0.005,P41*Debts!D11/12,0)</f>
        <v/>
      </c>
      <c r="R41" s="159" t="n">
        <v>0</v>
      </c>
      <c r="S41" s="152">
        <f>MAX(0,P41+Q41-R41)</f>
        <v/>
      </c>
      <c r="T41" s="152">
        <f>W40</f>
        <v/>
      </c>
      <c r="U41" s="159">
        <f>IF(T41&gt;0.005,T41*Debts!D12/12,0)</f>
        <v/>
      </c>
      <c r="V41" s="159" t="n">
        <v>0</v>
      </c>
      <c r="W41" s="152">
        <f>MAX(0,T41+U41-V41)</f>
        <v/>
      </c>
      <c r="X41" s="152">
        <f>AA40</f>
        <v/>
      </c>
      <c r="Y41" s="159">
        <f>IF(X41&gt;0.005,X41*Debts!D13/12,0)</f>
        <v/>
      </c>
      <c r="Z41" s="159" t="n">
        <v>0</v>
      </c>
      <c r="AA41" s="152">
        <f>MAX(0,X41+Y41-Z41)</f>
        <v/>
      </c>
      <c r="AB41" s="152">
        <f>AE40</f>
        <v/>
      </c>
      <c r="AC41" s="159">
        <f>IF(AB41&gt;0.005,AB41*Debts!D14/12,0)</f>
        <v/>
      </c>
      <c r="AD41" s="159" t="n">
        <v>0</v>
      </c>
      <c r="AE41" s="152">
        <f>MAX(0,AB41+AC41-AD41)</f>
        <v/>
      </c>
      <c r="AF41" s="152">
        <f>AI40</f>
        <v/>
      </c>
      <c r="AG41" s="159">
        <f>IF(AF41&gt;0.005,AF41*Debts!D15/12,0)</f>
        <v/>
      </c>
      <c r="AH41" s="159" t="n">
        <v>0</v>
      </c>
      <c r="AI41" s="152">
        <f>MAX(0,AF41+AG41-AH41)</f>
        <v/>
      </c>
      <c r="AJ41" s="152">
        <f>AM40</f>
        <v/>
      </c>
      <c r="AK41" s="159">
        <f>IF(AJ41&gt;0.005,AJ41*Debts!D16/12,0)</f>
        <v/>
      </c>
      <c r="AL41" s="159" t="n">
        <v>0</v>
      </c>
      <c r="AM41" s="152">
        <f>MAX(0,AJ41+AK41-AL41)</f>
        <v/>
      </c>
      <c r="AN41" s="152">
        <f>AQ40</f>
        <v/>
      </c>
      <c r="AO41" s="159">
        <f>IF(AN41&gt;0.005,AN41*Debts!D17/12,0)</f>
        <v/>
      </c>
      <c r="AP41" s="159" t="n">
        <v>0</v>
      </c>
      <c r="AQ41" s="152">
        <f>MAX(0,AN41+AO41-AP41)</f>
        <v/>
      </c>
      <c r="AR41" s="152">
        <f>AU40</f>
        <v/>
      </c>
      <c r="AS41" s="159">
        <f>IF(AR41&gt;0.005,AR41*Debts!D18/12,0)</f>
        <v/>
      </c>
      <c r="AT41" s="159" t="n">
        <v>0</v>
      </c>
      <c r="AU41" s="152">
        <f>MAX(0,AR41+AS41-AT41)</f>
        <v/>
      </c>
      <c r="AV41" s="152">
        <f>AY40</f>
        <v/>
      </c>
      <c r="AW41" s="159">
        <f>IF(AV41&gt;0.005,AV41*Debts!D19/12,0)</f>
        <v/>
      </c>
      <c r="AX41" s="159" t="n">
        <v>0</v>
      </c>
      <c r="AY41" s="152">
        <f>MAX(0,AV41+AW41-AX41)</f>
        <v/>
      </c>
      <c r="AZ41" s="152">
        <f>BC40</f>
        <v/>
      </c>
      <c r="BA41" s="159">
        <f>IF(AZ41&gt;0.005,AZ41*Debts!D20/12,0)</f>
        <v/>
      </c>
      <c r="BB41" s="159" t="n">
        <v>0</v>
      </c>
      <c r="BC41" s="152">
        <f>MAX(0,AZ41+BA41-BB41)</f>
        <v/>
      </c>
      <c r="BD41" s="152">
        <f>BG40</f>
        <v/>
      </c>
      <c r="BE41" s="159">
        <f>IF(BD41&gt;0.005,BD41*Debts!D21/12,0)</f>
        <v/>
      </c>
      <c r="BF41" s="159" t="n">
        <v>0</v>
      </c>
      <c r="BG41" s="152">
        <f>MAX(0,BD41+BE41-BF41)</f>
        <v/>
      </c>
      <c r="BH41" s="152">
        <f>BK40</f>
        <v/>
      </c>
      <c r="BI41" s="159">
        <f>IF(BH41&gt;0.005,BH41*Debts!D22/12,0)</f>
        <v/>
      </c>
      <c r="BJ41" s="159" t="n">
        <v>0</v>
      </c>
      <c r="BK41" s="152">
        <f>MAX(0,BH41+BI41-BJ41)</f>
        <v/>
      </c>
      <c r="BL41" s="152">
        <f>BO40</f>
        <v/>
      </c>
      <c r="BM41" s="159">
        <f>IF(BL41&gt;0.005,BL41*Debts!D23/12,0)</f>
        <v/>
      </c>
      <c r="BN41" s="159" t="n">
        <v>0</v>
      </c>
      <c r="BO41" s="152">
        <f>MAX(0,BL41+BM41-BN41)</f>
        <v/>
      </c>
      <c r="BP41" s="152">
        <f>BS40</f>
        <v/>
      </c>
      <c r="BQ41" s="159">
        <f>IF(BP41&gt;0.005,BP41*Debts!D24/12,0)</f>
        <v/>
      </c>
      <c r="BR41" s="159" t="n">
        <v>0</v>
      </c>
      <c r="BS41" s="152">
        <f>MAX(0,BP41+BQ41-BR41)</f>
        <v/>
      </c>
      <c r="BT41" s="152">
        <f>BW40</f>
        <v/>
      </c>
      <c r="BU41" s="159">
        <f>IF(BT41&gt;0.005,BT41*Debts!D25/12,0)</f>
        <v/>
      </c>
      <c r="BV41" s="159" t="n">
        <v>0</v>
      </c>
      <c r="BW41" s="152">
        <f>MAX(0,BT41+BU41-BV41)</f>
        <v/>
      </c>
      <c r="BX41" s="152">
        <f>CA40</f>
        <v/>
      </c>
      <c r="BY41" s="159">
        <f>IF(BX41&gt;0.005,BX41*Debts!D26/12,0)</f>
        <v/>
      </c>
      <c r="BZ41" s="159" t="n">
        <v>0</v>
      </c>
      <c r="CA41" s="152">
        <f>MAX(0,BX41+BY41-BZ41)</f>
        <v/>
      </c>
      <c r="CB41" s="152">
        <f>CE40</f>
        <v/>
      </c>
      <c r="CC41" s="159">
        <f>IF(CB41&gt;0.005,CB41*Debts!D27/12,0)</f>
        <v/>
      </c>
      <c r="CD41" s="159" t="n">
        <v>0</v>
      </c>
      <c r="CE41" s="152">
        <f>MAX(0,CB41+CC41-CD41)</f>
        <v/>
      </c>
      <c r="CF41" s="152">
        <f>G41+K41+O41+S41+W41+AA41+AE41+AI41+AM41+AQ41+AU41+AY41+BC41+BG41+BK41+BO41+BS41+BW41+CA41+CE41</f>
        <v/>
      </c>
      <c r="CG41" s="159">
        <f>E41+I41+M41+Q41+U41+Y41+AC41+AG41+AK41+AO41+AS41+AW41+BA41+BE41+BI41+BM41+BQ41+BU41+BY41+CC41</f>
        <v/>
      </c>
      <c r="CH41" s="152">
        <f>CH40+CG41</f>
        <v/>
      </c>
      <c r="CI41" s="148" t="n"/>
      <c r="CJ41" s="148" t="n"/>
    </row>
    <row r="42" ht="15" customHeight="1" s="83">
      <c r="A42" s="148" t="n"/>
      <c r="B42" s="158" t="n">
        <v>38</v>
      </c>
      <c r="C42" s="152">
        <f>F42+J42+N42+R42+V42+Z42+AD42+AH42+AL42+AP42+AT42+AX42+BB42+BF42+BJ42+BN42+BR42+BV42+BZ42+CD42</f>
        <v/>
      </c>
      <c r="D42" s="152">
        <f>G41</f>
        <v/>
      </c>
      <c r="E42" s="159">
        <f>IF(D42&gt;0.005,D42*Debts!D8/12,0)</f>
        <v/>
      </c>
      <c r="F42" s="159" t="n">
        <v>0</v>
      </c>
      <c r="G42" s="152">
        <f>MAX(0,D42+E42-F42)</f>
        <v/>
      </c>
      <c r="H42" s="152">
        <f>K41</f>
        <v/>
      </c>
      <c r="I42" s="159">
        <f>IF(H42&gt;0.005,H42*Debts!D9/12,0)</f>
        <v/>
      </c>
      <c r="J42" s="159" t="n">
        <v>0</v>
      </c>
      <c r="K42" s="152">
        <f>MAX(0,H42+I42-J42)</f>
        <v/>
      </c>
      <c r="L42" s="152">
        <f>O41</f>
        <v/>
      </c>
      <c r="M42" s="159">
        <f>IF(L42&gt;0.005,L42*Debts!D10/12,0)</f>
        <v/>
      </c>
      <c r="N42" s="159" t="n">
        <v>0</v>
      </c>
      <c r="O42" s="152">
        <f>MAX(0,L42+M42-N42)</f>
        <v/>
      </c>
      <c r="P42" s="152">
        <f>S41</f>
        <v/>
      </c>
      <c r="Q42" s="159">
        <f>IF(P42&gt;0.005,P42*Debts!D11/12,0)</f>
        <v/>
      </c>
      <c r="R42" s="159" t="n">
        <v>0</v>
      </c>
      <c r="S42" s="152">
        <f>MAX(0,P42+Q42-R42)</f>
        <v/>
      </c>
      <c r="T42" s="152">
        <f>W41</f>
        <v/>
      </c>
      <c r="U42" s="159">
        <f>IF(T42&gt;0.005,T42*Debts!D12/12,0)</f>
        <v/>
      </c>
      <c r="V42" s="159" t="n">
        <v>0</v>
      </c>
      <c r="W42" s="152">
        <f>MAX(0,T42+U42-V42)</f>
        <v/>
      </c>
      <c r="X42" s="152">
        <f>AA41</f>
        <v/>
      </c>
      <c r="Y42" s="159">
        <f>IF(X42&gt;0.005,X42*Debts!D13/12,0)</f>
        <v/>
      </c>
      <c r="Z42" s="159" t="n">
        <v>0</v>
      </c>
      <c r="AA42" s="152">
        <f>MAX(0,X42+Y42-Z42)</f>
        <v/>
      </c>
      <c r="AB42" s="152">
        <f>AE41</f>
        <v/>
      </c>
      <c r="AC42" s="159">
        <f>IF(AB42&gt;0.005,AB42*Debts!D14/12,0)</f>
        <v/>
      </c>
      <c r="AD42" s="159" t="n">
        <v>0</v>
      </c>
      <c r="AE42" s="152">
        <f>MAX(0,AB42+AC42-AD42)</f>
        <v/>
      </c>
      <c r="AF42" s="152">
        <f>AI41</f>
        <v/>
      </c>
      <c r="AG42" s="159">
        <f>IF(AF42&gt;0.005,AF42*Debts!D15/12,0)</f>
        <v/>
      </c>
      <c r="AH42" s="159" t="n">
        <v>0</v>
      </c>
      <c r="AI42" s="152">
        <f>MAX(0,AF42+AG42-AH42)</f>
        <v/>
      </c>
      <c r="AJ42" s="152">
        <f>AM41</f>
        <v/>
      </c>
      <c r="AK42" s="159">
        <f>IF(AJ42&gt;0.005,AJ42*Debts!D16/12,0)</f>
        <v/>
      </c>
      <c r="AL42" s="159" t="n">
        <v>0</v>
      </c>
      <c r="AM42" s="152">
        <f>MAX(0,AJ42+AK42-AL42)</f>
        <v/>
      </c>
      <c r="AN42" s="152">
        <f>AQ41</f>
        <v/>
      </c>
      <c r="AO42" s="159">
        <f>IF(AN42&gt;0.005,AN42*Debts!D17/12,0)</f>
        <v/>
      </c>
      <c r="AP42" s="159" t="n">
        <v>0</v>
      </c>
      <c r="AQ42" s="152">
        <f>MAX(0,AN42+AO42-AP42)</f>
        <v/>
      </c>
      <c r="AR42" s="152">
        <f>AU41</f>
        <v/>
      </c>
      <c r="AS42" s="159">
        <f>IF(AR42&gt;0.005,AR42*Debts!D18/12,0)</f>
        <v/>
      </c>
      <c r="AT42" s="159" t="n">
        <v>0</v>
      </c>
      <c r="AU42" s="152">
        <f>MAX(0,AR42+AS42-AT42)</f>
        <v/>
      </c>
      <c r="AV42" s="152">
        <f>AY41</f>
        <v/>
      </c>
      <c r="AW42" s="159">
        <f>IF(AV42&gt;0.005,AV42*Debts!D19/12,0)</f>
        <v/>
      </c>
      <c r="AX42" s="159" t="n">
        <v>0</v>
      </c>
      <c r="AY42" s="152">
        <f>MAX(0,AV42+AW42-AX42)</f>
        <v/>
      </c>
      <c r="AZ42" s="152">
        <f>BC41</f>
        <v/>
      </c>
      <c r="BA42" s="159">
        <f>IF(AZ42&gt;0.005,AZ42*Debts!D20/12,0)</f>
        <v/>
      </c>
      <c r="BB42" s="159" t="n">
        <v>0</v>
      </c>
      <c r="BC42" s="152">
        <f>MAX(0,AZ42+BA42-BB42)</f>
        <v/>
      </c>
      <c r="BD42" s="152">
        <f>BG41</f>
        <v/>
      </c>
      <c r="BE42" s="159">
        <f>IF(BD42&gt;0.005,BD42*Debts!D21/12,0)</f>
        <v/>
      </c>
      <c r="BF42" s="159" t="n">
        <v>0</v>
      </c>
      <c r="BG42" s="152">
        <f>MAX(0,BD42+BE42-BF42)</f>
        <v/>
      </c>
      <c r="BH42" s="152">
        <f>BK41</f>
        <v/>
      </c>
      <c r="BI42" s="159">
        <f>IF(BH42&gt;0.005,BH42*Debts!D22/12,0)</f>
        <v/>
      </c>
      <c r="BJ42" s="159" t="n">
        <v>0</v>
      </c>
      <c r="BK42" s="152">
        <f>MAX(0,BH42+BI42-BJ42)</f>
        <v/>
      </c>
      <c r="BL42" s="152">
        <f>BO41</f>
        <v/>
      </c>
      <c r="BM42" s="159">
        <f>IF(BL42&gt;0.005,BL42*Debts!D23/12,0)</f>
        <v/>
      </c>
      <c r="BN42" s="159" t="n">
        <v>0</v>
      </c>
      <c r="BO42" s="152">
        <f>MAX(0,BL42+BM42-BN42)</f>
        <v/>
      </c>
      <c r="BP42" s="152">
        <f>BS41</f>
        <v/>
      </c>
      <c r="BQ42" s="159">
        <f>IF(BP42&gt;0.005,BP42*Debts!D24/12,0)</f>
        <v/>
      </c>
      <c r="BR42" s="159" t="n">
        <v>0</v>
      </c>
      <c r="BS42" s="152">
        <f>MAX(0,BP42+BQ42-BR42)</f>
        <v/>
      </c>
      <c r="BT42" s="152">
        <f>BW41</f>
        <v/>
      </c>
      <c r="BU42" s="159">
        <f>IF(BT42&gt;0.005,BT42*Debts!D25/12,0)</f>
        <v/>
      </c>
      <c r="BV42" s="159" t="n">
        <v>0</v>
      </c>
      <c r="BW42" s="152">
        <f>MAX(0,BT42+BU42-BV42)</f>
        <v/>
      </c>
      <c r="BX42" s="152">
        <f>CA41</f>
        <v/>
      </c>
      <c r="BY42" s="159">
        <f>IF(BX42&gt;0.005,BX42*Debts!D26/12,0)</f>
        <v/>
      </c>
      <c r="BZ42" s="159" t="n">
        <v>0</v>
      </c>
      <c r="CA42" s="152">
        <f>MAX(0,BX42+BY42-BZ42)</f>
        <v/>
      </c>
      <c r="CB42" s="152">
        <f>CE41</f>
        <v/>
      </c>
      <c r="CC42" s="159">
        <f>IF(CB42&gt;0.005,CB42*Debts!D27/12,0)</f>
        <v/>
      </c>
      <c r="CD42" s="159" t="n">
        <v>0</v>
      </c>
      <c r="CE42" s="152">
        <f>MAX(0,CB42+CC42-CD42)</f>
        <v/>
      </c>
      <c r="CF42" s="152">
        <f>G42+K42+O42+S42+W42+AA42+AE42+AI42+AM42+AQ42+AU42+AY42+BC42+BG42+BK42+BO42+BS42+BW42+CA42+CE42</f>
        <v/>
      </c>
      <c r="CG42" s="159">
        <f>E42+I42+M42+Q42+U42+Y42+AC42+AG42+AK42+AO42+AS42+AW42+BA42+BE42+BI42+BM42+BQ42+BU42+BY42+CC42</f>
        <v/>
      </c>
      <c r="CH42" s="152">
        <f>CH41+CG42</f>
        <v/>
      </c>
      <c r="CI42" s="148" t="n"/>
      <c r="CJ42" s="148" t="n"/>
    </row>
    <row r="43" ht="15" customHeight="1" s="83">
      <c r="A43" s="148" t="n"/>
      <c r="B43" s="158" t="n">
        <v>39</v>
      </c>
      <c r="C43" s="152">
        <f>F43+J43+N43+R43+V43+Z43+AD43+AH43+AL43+AP43+AT43+AX43+BB43+BF43+BJ43+BN43+BR43+BV43+BZ43+CD43</f>
        <v/>
      </c>
      <c r="D43" s="152">
        <f>G42</f>
        <v/>
      </c>
      <c r="E43" s="159">
        <f>IF(D43&gt;0.005,D43*Debts!D8/12,0)</f>
        <v/>
      </c>
      <c r="F43" s="159" t="n">
        <v>0</v>
      </c>
      <c r="G43" s="152">
        <f>MAX(0,D43+E43-F43)</f>
        <v/>
      </c>
      <c r="H43" s="152">
        <f>K42</f>
        <v/>
      </c>
      <c r="I43" s="159">
        <f>IF(H43&gt;0.005,H43*Debts!D9/12,0)</f>
        <v/>
      </c>
      <c r="J43" s="159" t="n">
        <v>0</v>
      </c>
      <c r="K43" s="152">
        <f>MAX(0,H43+I43-J43)</f>
        <v/>
      </c>
      <c r="L43" s="152">
        <f>O42</f>
        <v/>
      </c>
      <c r="M43" s="159">
        <f>IF(L43&gt;0.005,L43*Debts!D10/12,0)</f>
        <v/>
      </c>
      <c r="N43" s="159" t="n">
        <v>0</v>
      </c>
      <c r="O43" s="152">
        <f>MAX(0,L43+M43-N43)</f>
        <v/>
      </c>
      <c r="P43" s="152">
        <f>S42</f>
        <v/>
      </c>
      <c r="Q43" s="159">
        <f>IF(P43&gt;0.005,P43*Debts!D11/12,0)</f>
        <v/>
      </c>
      <c r="R43" s="159" t="n">
        <v>0</v>
      </c>
      <c r="S43" s="152">
        <f>MAX(0,P43+Q43-R43)</f>
        <v/>
      </c>
      <c r="T43" s="152">
        <f>W42</f>
        <v/>
      </c>
      <c r="U43" s="159">
        <f>IF(T43&gt;0.005,T43*Debts!D12/12,0)</f>
        <v/>
      </c>
      <c r="V43" s="159" t="n">
        <v>0</v>
      </c>
      <c r="W43" s="152">
        <f>MAX(0,T43+U43-V43)</f>
        <v/>
      </c>
      <c r="X43" s="152">
        <f>AA42</f>
        <v/>
      </c>
      <c r="Y43" s="159">
        <f>IF(X43&gt;0.005,X43*Debts!D13/12,0)</f>
        <v/>
      </c>
      <c r="Z43" s="159" t="n">
        <v>0</v>
      </c>
      <c r="AA43" s="152">
        <f>MAX(0,X43+Y43-Z43)</f>
        <v/>
      </c>
      <c r="AB43" s="152">
        <f>AE42</f>
        <v/>
      </c>
      <c r="AC43" s="159">
        <f>IF(AB43&gt;0.005,AB43*Debts!D14/12,0)</f>
        <v/>
      </c>
      <c r="AD43" s="159" t="n">
        <v>0</v>
      </c>
      <c r="AE43" s="152">
        <f>MAX(0,AB43+AC43-AD43)</f>
        <v/>
      </c>
      <c r="AF43" s="152">
        <f>AI42</f>
        <v/>
      </c>
      <c r="AG43" s="159">
        <f>IF(AF43&gt;0.005,AF43*Debts!D15/12,0)</f>
        <v/>
      </c>
      <c r="AH43" s="159" t="n">
        <v>0</v>
      </c>
      <c r="AI43" s="152">
        <f>MAX(0,AF43+AG43-AH43)</f>
        <v/>
      </c>
      <c r="AJ43" s="152">
        <f>AM42</f>
        <v/>
      </c>
      <c r="AK43" s="159">
        <f>IF(AJ43&gt;0.005,AJ43*Debts!D16/12,0)</f>
        <v/>
      </c>
      <c r="AL43" s="159" t="n">
        <v>0</v>
      </c>
      <c r="AM43" s="152">
        <f>MAX(0,AJ43+AK43-AL43)</f>
        <v/>
      </c>
      <c r="AN43" s="152">
        <f>AQ42</f>
        <v/>
      </c>
      <c r="AO43" s="159">
        <f>IF(AN43&gt;0.005,AN43*Debts!D17/12,0)</f>
        <v/>
      </c>
      <c r="AP43" s="159" t="n">
        <v>0</v>
      </c>
      <c r="AQ43" s="152">
        <f>MAX(0,AN43+AO43-AP43)</f>
        <v/>
      </c>
      <c r="AR43" s="152">
        <f>AU42</f>
        <v/>
      </c>
      <c r="AS43" s="159">
        <f>IF(AR43&gt;0.005,AR43*Debts!D18/12,0)</f>
        <v/>
      </c>
      <c r="AT43" s="159" t="n">
        <v>0</v>
      </c>
      <c r="AU43" s="152">
        <f>MAX(0,AR43+AS43-AT43)</f>
        <v/>
      </c>
      <c r="AV43" s="152">
        <f>AY42</f>
        <v/>
      </c>
      <c r="AW43" s="159">
        <f>IF(AV43&gt;0.005,AV43*Debts!D19/12,0)</f>
        <v/>
      </c>
      <c r="AX43" s="159" t="n">
        <v>0</v>
      </c>
      <c r="AY43" s="152">
        <f>MAX(0,AV43+AW43-AX43)</f>
        <v/>
      </c>
      <c r="AZ43" s="152">
        <f>BC42</f>
        <v/>
      </c>
      <c r="BA43" s="159">
        <f>IF(AZ43&gt;0.005,AZ43*Debts!D20/12,0)</f>
        <v/>
      </c>
      <c r="BB43" s="159" t="n">
        <v>0</v>
      </c>
      <c r="BC43" s="152">
        <f>MAX(0,AZ43+BA43-BB43)</f>
        <v/>
      </c>
      <c r="BD43" s="152">
        <f>BG42</f>
        <v/>
      </c>
      <c r="BE43" s="159">
        <f>IF(BD43&gt;0.005,BD43*Debts!D21/12,0)</f>
        <v/>
      </c>
      <c r="BF43" s="159" t="n">
        <v>0</v>
      </c>
      <c r="BG43" s="152">
        <f>MAX(0,BD43+BE43-BF43)</f>
        <v/>
      </c>
      <c r="BH43" s="152">
        <f>BK42</f>
        <v/>
      </c>
      <c r="BI43" s="159">
        <f>IF(BH43&gt;0.005,BH43*Debts!D22/12,0)</f>
        <v/>
      </c>
      <c r="BJ43" s="159" t="n">
        <v>0</v>
      </c>
      <c r="BK43" s="152">
        <f>MAX(0,BH43+BI43-BJ43)</f>
        <v/>
      </c>
      <c r="BL43" s="152">
        <f>BO42</f>
        <v/>
      </c>
      <c r="BM43" s="159">
        <f>IF(BL43&gt;0.005,BL43*Debts!D23/12,0)</f>
        <v/>
      </c>
      <c r="BN43" s="159" t="n">
        <v>0</v>
      </c>
      <c r="BO43" s="152">
        <f>MAX(0,BL43+BM43-BN43)</f>
        <v/>
      </c>
      <c r="BP43" s="152">
        <f>BS42</f>
        <v/>
      </c>
      <c r="BQ43" s="159">
        <f>IF(BP43&gt;0.005,BP43*Debts!D24/12,0)</f>
        <v/>
      </c>
      <c r="BR43" s="159" t="n">
        <v>0</v>
      </c>
      <c r="BS43" s="152">
        <f>MAX(0,BP43+BQ43-BR43)</f>
        <v/>
      </c>
      <c r="BT43" s="152">
        <f>BW42</f>
        <v/>
      </c>
      <c r="BU43" s="159">
        <f>IF(BT43&gt;0.005,BT43*Debts!D25/12,0)</f>
        <v/>
      </c>
      <c r="BV43" s="159" t="n">
        <v>0</v>
      </c>
      <c r="BW43" s="152">
        <f>MAX(0,BT43+BU43-BV43)</f>
        <v/>
      </c>
      <c r="BX43" s="152">
        <f>CA42</f>
        <v/>
      </c>
      <c r="BY43" s="159">
        <f>IF(BX43&gt;0.005,BX43*Debts!D26/12,0)</f>
        <v/>
      </c>
      <c r="BZ43" s="159" t="n">
        <v>0</v>
      </c>
      <c r="CA43" s="152">
        <f>MAX(0,BX43+BY43-BZ43)</f>
        <v/>
      </c>
      <c r="CB43" s="152">
        <f>CE42</f>
        <v/>
      </c>
      <c r="CC43" s="159">
        <f>IF(CB43&gt;0.005,CB43*Debts!D27/12,0)</f>
        <v/>
      </c>
      <c r="CD43" s="159" t="n">
        <v>0</v>
      </c>
      <c r="CE43" s="152">
        <f>MAX(0,CB43+CC43-CD43)</f>
        <v/>
      </c>
      <c r="CF43" s="152">
        <f>G43+K43+O43+S43+W43+AA43+AE43+AI43+AM43+AQ43+AU43+AY43+BC43+BG43+BK43+BO43+BS43+BW43+CA43+CE43</f>
        <v/>
      </c>
      <c r="CG43" s="159">
        <f>E43+I43+M43+Q43+U43+Y43+AC43+AG43+AK43+AO43+AS43+AW43+BA43+BE43+BI43+BM43+BQ43+BU43+BY43+CC43</f>
        <v/>
      </c>
      <c r="CH43" s="152">
        <f>CH42+CG43</f>
        <v/>
      </c>
      <c r="CI43" s="148" t="n"/>
      <c r="CJ43" s="148" t="n"/>
    </row>
    <row r="44" ht="15" customHeight="1" s="83">
      <c r="A44" s="148" t="n"/>
      <c r="B44" s="158" t="n">
        <v>40</v>
      </c>
      <c r="C44" s="152">
        <f>F44+J44+N44+R44+V44+Z44+AD44+AH44+AL44+AP44+AT44+AX44+BB44+BF44+BJ44+BN44+BR44+BV44+BZ44+CD44</f>
        <v/>
      </c>
      <c r="D44" s="152">
        <f>G43</f>
        <v/>
      </c>
      <c r="E44" s="159">
        <f>IF(D44&gt;0.005,D44*Debts!D8/12,0)</f>
        <v/>
      </c>
      <c r="F44" s="159" t="n">
        <v>0</v>
      </c>
      <c r="G44" s="152">
        <f>MAX(0,D44+E44-F44)</f>
        <v/>
      </c>
      <c r="H44" s="152">
        <f>K43</f>
        <v/>
      </c>
      <c r="I44" s="159">
        <f>IF(H44&gt;0.005,H44*Debts!D9/12,0)</f>
        <v/>
      </c>
      <c r="J44" s="159" t="n">
        <v>0</v>
      </c>
      <c r="K44" s="152">
        <f>MAX(0,H44+I44-J44)</f>
        <v/>
      </c>
      <c r="L44" s="152">
        <f>O43</f>
        <v/>
      </c>
      <c r="M44" s="159">
        <f>IF(L44&gt;0.005,L44*Debts!D10/12,0)</f>
        <v/>
      </c>
      <c r="N44" s="159" t="n">
        <v>0</v>
      </c>
      <c r="O44" s="152">
        <f>MAX(0,L44+M44-N44)</f>
        <v/>
      </c>
      <c r="P44" s="152">
        <f>S43</f>
        <v/>
      </c>
      <c r="Q44" s="159">
        <f>IF(P44&gt;0.005,P44*Debts!D11/12,0)</f>
        <v/>
      </c>
      <c r="R44" s="159" t="n">
        <v>0</v>
      </c>
      <c r="S44" s="152">
        <f>MAX(0,P44+Q44-R44)</f>
        <v/>
      </c>
      <c r="T44" s="152">
        <f>W43</f>
        <v/>
      </c>
      <c r="U44" s="159">
        <f>IF(T44&gt;0.005,T44*Debts!D12/12,0)</f>
        <v/>
      </c>
      <c r="V44" s="159" t="n">
        <v>0</v>
      </c>
      <c r="W44" s="152">
        <f>MAX(0,T44+U44-V44)</f>
        <v/>
      </c>
      <c r="X44" s="152">
        <f>AA43</f>
        <v/>
      </c>
      <c r="Y44" s="159">
        <f>IF(X44&gt;0.005,X44*Debts!D13/12,0)</f>
        <v/>
      </c>
      <c r="Z44" s="159" t="n">
        <v>0</v>
      </c>
      <c r="AA44" s="152">
        <f>MAX(0,X44+Y44-Z44)</f>
        <v/>
      </c>
      <c r="AB44" s="152">
        <f>AE43</f>
        <v/>
      </c>
      <c r="AC44" s="159">
        <f>IF(AB44&gt;0.005,AB44*Debts!D14/12,0)</f>
        <v/>
      </c>
      <c r="AD44" s="159" t="n">
        <v>0</v>
      </c>
      <c r="AE44" s="152">
        <f>MAX(0,AB44+AC44-AD44)</f>
        <v/>
      </c>
      <c r="AF44" s="152">
        <f>AI43</f>
        <v/>
      </c>
      <c r="AG44" s="159">
        <f>IF(AF44&gt;0.005,AF44*Debts!D15/12,0)</f>
        <v/>
      </c>
      <c r="AH44" s="159" t="n">
        <v>0</v>
      </c>
      <c r="AI44" s="152">
        <f>MAX(0,AF44+AG44-AH44)</f>
        <v/>
      </c>
      <c r="AJ44" s="152">
        <f>AM43</f>
        <v/>
      </c>
      <c r="AK44" s="159">
        <f>IF(AJ44&gt;0.005,AJ44*Debts!D16/12,0)</f>
        <v/>
      </c>
      <c r="AL44" s="159" t="n">
        <v>0</v>
      </c>
      <c r="AM44" s="152">
        <f>MAX(0,AJ44+AK44-AL44)</f>
        <v/>
      </c>
      <c r="AN44" s="152">
        <f>AQ43</f>
        <v/>
      </c>
      <c r="AO44" s="159">
        <f>IF(AN44&gt;0.005,AN44*Debts!D17/12,0)</f>
        <v/>
      </c>
      <c r="AP44" s="159" t="n">
        <v>0</v>
      </c>
      <c r="AQ44" s="152">
        <f>MAX(0,AN44+AO44-AP44)</f>
        <v/>
      </c>
      <c r="AR44" s="152">
        <f>AU43</f>
        <v/>
      </c>
      <c r="AS44" s="159">
        <f>IF(AR44&gt;0.005,AR44*Debts!D18/12,0)</f>
        <v/>
      </c>
      <c r="AT44" s="159" t="n">
        <v>0</v>
      </c>
      <c r="AU44" s="152">
        <f>MAX(0,AR44+AS44-AT44)</f>
        <v/>
      </c>
      <c r="AV44" s="152">
        <f>AY43</f>
        <v/>
      </c>
      <c r="AW44" s="159">
        <f>IF(AV44&gt;0.005,AV44*Debts!D19/12,0)</f>
        <v/>
      </c>
      <c r="AX44" s="159" t="n">
        <v>0</v>
      </c>
      <c r="AY44" s="152">
        <f>MAX(0,AV44+AW44-AX44)</f>
        <v/>
      </c>
      <c r="AZ44" s="152">
        <f>BC43</f>
        <v/>
      </c>
      <c r="BA44" s="159">
        <f>IF(AZ44&gt;0.005,AZ44*Debts!D20/12,0)</f>
        <v/>
      </c>
      <c r="BB44" s="159" t="n">
        <v>0</v>
      </c>
      <c r="BC44" s="152">
        <f>MAX(0,AZ44+BA44-BB44)</f>
        <v/>
      </c>
      <c r="BD44" s="152">
        <f>BG43</f>
        <v/>
      </c>
      <c r="BE44" s="159">
        <f>IF(BD44&gt;0.005,BD44*Debts!D21/12,0)</f>
        <v/>
      </c>
      <c r="BF44" s="159" t="n">
        <v>0</v>
      </c>
      <c r="BG44" s="152">
        <f>MAX(0,BD44+BE44-BF44)</f>
        <v/>
      </c>
      <c r="BH44" s="152">
        <f>BK43</f>
        <v/>
      </c>
      <c r="BI44" s="159">
        <f>IF(BH44&gt;0.005,BH44*Debts!D22/12,0)</f>
        <v/>
      </c>
      <c r="BJ44" s="159" t="n">
        <v>0</v>
      </c>
      <c r="BK44" s="152">
        <f>MAX(0,BH44+BI44-BJ44)</f>
        <v/>
      </c>
      <c r="BL44" s="152">
        <f>BO43</f>
        <v/>
      </c>
      <c r="BM44" s="159">
        <f>IF(BL44&gt;0.005,BL44*Debts!D23/12,0)</f>
        <v/>
      </c>
      <c r="BN44" s="159" t="n">
        <v>0</v>
      </c>
      <c r="BO44" s="152">
        <f>MAX(0,BL44+BM44-BN44)</f>
        <v/>
      </c>
      <c r="BP44" s="152">
        <f>BS43</f>
        <v/>
      </c>
      <c r="BQ44" s="159">
        <f>IF(BP44&gt;0.005,BP44*Debts!D24/12,0)</f>
        <v/>
      </c>
      <c r="BR44" s="159" t="n">
        <v>0</v>
      </c>
      <c r="BS44" s="152">
        <f>MAX(0,BP44+BQ44-BR44)</f>
        <v/>
      </c>
      <c r="BT44" s="152">
        <f>BW43</f>
        <v/>
      </c>
      <c r="BU44" s="159">
        <f>IF(BT44&gt;0.005,BT44*Debts!D25/12,0)</f>
        <v/>
      </c>
      <c r="BV44" s="159" t="n">
        <v>0</v>
      </c>
      <c r="BW44" s="152">
        <f>MAX(0,BT44+BU44-BV44)</f>
        <v/>
      </c>
      <c r="BX44" s="152">
        <f>CA43</f>
        <v/>
      </c>
      <c r="BY44" s="159">
        <f>IF(BX44&gt;0.005,BX44*Debts!D26/12,0)</f>
        <v/>
      </c>
      <c r="BZ44" s="159" t="n">
        <v>0</v>
      </c>
      <c r="CA44" s="152">
        <f>MAX(0,BX44+BY44-BZ44)</f>
        <v/>
      </c>
      <c r="CB44" s="152">
        <f>CE43</f>
        <v/>
      </c>
      <c r="CC44" s="159">
        <f>IF(CB44&gt;0.005,CB44*Debts!D27/12,0)</f>
        <v/>
      </c>
      <c r="CD44" s="159" t="n">
        <v>0</v>
      </c>
      <c r="CE44" s="152">
        <f>MAX(0,CB44+CC44-CD44)</f>
        <v/>
      </c>
      <c r="CF44" s="152">
        <f>G44+K44+O44+S44+W44+AA44+AE44+AI44+AM44+AQ44+AU44+AY44+BC44+BG44+BK44+BO44+BS44+BW44+CA44+CE44</f>
        <v/>
      </c>
      <c r="CG44" s="159">
        <f>E44+I44+M44+Q44+U44+Y44+AC44+AG44+AK44+AO44+AS44+AW44+BA44+BE44+BI44+BM44+BQ44+BU44+BY44+CC44</f>
        <v/>
      </c>
      <c r="CH44" s="152">
        <f>CH43+CG44</f>
        <v/>
      </c>
      <c r="CI44" s="148" t="n"/>
      <c r="CJ44" s="148" t="n"/>
    </row>
    <row r="45" ht="15" customHeight="1" s="83">
      <c r="A45" s="148" t="n"/>
      <c r="B45" s="158" t="n">
        <v>41</v>
      </c>
      <c r="C45" s="152">
        <f>F45+J45+N45+R45+V45+Z45+AD45+AH45+AL45+AP45+AT45+AX45+BB45+BF45+BJ45+BN45+BR45+BV45+BZ45+CD45</f>
        <v/>
      </c>
      <c r="D45" s="152">
        <f>G44</f>
        <v/>
      </c>
      <c r="E45" s="159">
        <f>IF(D45&gt;0.005,D45*Debts!D8/12,0)</f>
        <v/>
      </c>
      <c r="F45" s="159" t="n">
        <v>0</v>
      </c>
      <c r="G45" s="152">
        <f>MAX(0,D45+E45-F45)</f>
        <v/>
      </c>
      <c r="H45" s="152">
        <f>K44</f>
        <v/>
      </c>
      <c r="I45" s="159">
        <f>IF(H45&gt;0.005,H45*Debts!D9/12,0)</f>
        <v/>
      </c>
      <c r="J45" s="159" t="n">
        <v>0</v>
      </c>
      <c r="K45" s="152">
        <f>MAX(0,H45+I45-J45)</f>
        <v/>
      </c>
      <c r="L45" s="152">
        <f>O44</f>
        <v/>
      </c>
      <c r="M45" s="159">
        <f>IF(L45&gt;0.005,L45*Debts!D10/12,0)</f>
        <v/>
      </c>
      <c r="N45" s="159" t="n">
        <v>0</v>
      </c>
      <c r="O45" s="152">
        <f>MAX(0,L45+M45-N45)</f>
        <v/>
      </c>
      <c r="P45" s="152">
        <f>S44</f>
        <v/>
      </c>
      <c r="Q45" s="159">
        <f>IF(P45&gt;0.005,P45*Debts!D11/12,0)</f>
        <v/>
      </c>
      <c r="R45" s="159" t="n">
        <v>0</v>
      </c>
      <c r="S45" s="152">
        <f>MAX(0,P45+Q45-R45)</f>
        <v/>
      </c>
      <c r="T45" s="152">
        <f>W44</f>
        <v/>
      </c>
      <c r="U45" s="159">
        <f>IF(T45&gt;0.005,T45*Debts!D12/12,0)</f>
        <v/>
      </c>
      <c r="V45" s="159" t="n">
        <v>0</v>
      </c>
      <c r="W45" s="152">
        <f>MAX(0,T45+U45-V45)</f>
        <v/>
      </c>
      <c r="X45" s="152">
        <f>AA44</f>
        <v/>
      </c>
      <c r="Y45" s="159">
        <f>IF(X45&gt;0.005,X45*Debts!D13/12,0)</f>
        <v/>
      </c>
      <c r="Z45" s="159" t="n">
        <v>0</v>
      </c>
      <c r="AA45" s="152">
        <f>MAX(0,X45+Y45-Z45)</f>
        <v/>
      </c>
      <c r="AB45" s="152">
        <f>AE44</f>
        <v/>
      </c>
      <c r="AC45" s="159">
        <f>IF(AB45&gt;0.005,AB45*Debts!D14/12,0)</f>
        <v/>
      </c>
      <c r="AD45" s="159" t="n">
        <v>0</v>
      </c>
      <c r="AE45" s="152">
        <f>MAX(0,AB45+AC45-AD45)</f>
        <v/>
      </c>
      <c r="AF45" s="152">
        <f>AI44</f>
        <v/>
      </c>
      <c r="AG45" s="159">
        <f>IF(AF45&gt;0.005,AF45*Debts!D15/12,0)</f>
        <v/>
      </c>
      <c r="AH45" s="159" t="n">
        <v>0</v>
      </c>
      <c r="AI45" s="152">
        <f>MAX(0,AF45+AG45-AH45)</f>
        <v/>
      </c>
      <c r="AJ45" s="152">
        <f>AM44</f>
        <v/>
      </c>
      <c r="AK45" s="159">
        <f>IF(AJ45&gt;0.005,AJ45*Debts!D16/12,0)</f>
        <v/>
      </c>
      <c r="AL45" s="159" t="n">
        <v>0</v>
      </c>
      <c r="AM45" s="152">
        <f>MAX(0,AJ45+AK45-AL45)</f>
        <v/>
      </c>
      <c r="AN45" s="152">
        <f>AQ44</f>
        <v/>
      </c>
      <c r="AO45" s="159">
        <f>IF(AN45&gt;0.005,AN45*Debts!D17/12,0)</f>
        <v/>
      </c>
      <c r="AP45" s="159" t="n">
        <v>0</v>
      </c>
      <c r="AQ45" s="152">
        <f>MAX(0,AN45+AO45-AP45)</f>
        <v/>
      </c>
      <c r="AR45" s="152">
        <f>AU44</f>
        <v/>
      </c>
      <c r="AS45" s="159">
        <f>IF(AR45&gt;0.005,AR45*Debts!D18/12,0)</f>
        <v/>
      </c>
      <c r="AT45" s="159" t="n">
        <v>0</v>
      </c>
      <c r="AU45" s="152">
        <f>MAX(0,AR45+AS45-AT45)</f>
        <v/>
      </c>
      <c r="AV45" s="152">
        <f>AY44</f>
        <v/>
      </c>
      <c r="AW45" s="159">
        <f>IF(AV45&gt;0.005,AV45*Debts!D19/12,0)</f>
        <v/>
      </c>
      <c r="AX45" s="159" t="n">
        <v>0</v>
      </c>
      <c r="AY45" s="152">
        <f>MAX(0,AV45+AW45-AX45)</f>
        <v/>
      </c>
      <c r="AZ45" s="152">
        <f>BC44</f>
        <v/>
      </c>
      <c r="BA45" s="159">
        <f>IF(AZ45&gt;0.005,AZ45*Debts!D20/12,0)</f>
        <v/>
      </c>
      <c r="BB45" s="159" t="n">
        <v>0</v>
      </c>
      <c r="BC45" s="152">
        <f>MAX(0,AZ45+BA45-BB45)</f>
        <v/>
      </c>
      <c r="BD45" s="152">
        <f>BG44</f>
        <v/>
      </c>
      <c r="BE45" s="159">
        <f>IF(BD45&gt;0.005,BD45*Debts!D21/12,0)</f>
        <v/>
      </c>
      <c r="BF45" s="159" t="n">
        <v>0</v>
      </c>
      <c r="BG45" s="152">
        <f>MAX(0,BD45+BE45-BF45)</f>
        <v/>
      </c>
      <c r="BH45" s="152">
        <f>BK44</f>
        <v/>
      </c>
      <c r="BI45" s="159">
        <f>IF(BH45&gt;0.005,BH45*Debts!D22/12,0)</f>
        <v/>
      </c>
      <c r="BJ45" s="159" t="n">
        <v>0</v>
      </c>
      <c r="BK45" s="152">
        <f>MAX(0,BH45+BI45-BJ45)</f>
        <v/>
      </c>
      <c r="BL45" s="152">
        <f>BO44</f>
        <v/>
      </c>
      <c r="BM45" s="159">
        <f>IF(BL45&gt;0.005,BL45*Debts!D23/12,0)</f>
        <v/>
      </c>
      <c r="BN45" s="159" t="n">
        <v>0</v>
      </c>
      <c r="BO45" s="152">
        <f>MAX(0,BL45+BM45-BN45)</f>
        <v/>
      </c>
      <c r="BP45" s="152">
        <f>BS44</f>
        <v/>
      </c>
      <c r="BQ45" s="159">
        <f>IF(BP45&gt;0.005,BP45*Debts!D24/12,0)</f>
        <v/>
      </c>
      <c r="BR45" s="159" t="n">
        <v>0</v>
      </c>
      <c r="BS45" s="152">
        <f>MAX(0,BP45+BQ45-BR45)</f>
        <v/>
      </c>
      <c r="BT45" s="152">
        <f>BW44</f>
        <v/>
      </c>
      <c r="BU45" s="159">
        <f>IF(BT45&gt;0.005,BT45*Debts!D25/12,0)</f>
        <v/>
      </c>
      <c r="BV45" s="159" t="n">
        <v>0</v>
      </c>
      <c r="BW45" s="152">
        <f>MAX(0,BT45+BU45-BV45)</f>
        <v/>
      </c>
      <c r="BX45" s="152">
        <f>CA44</f>
        <v/>
      </c>
      <c r="BY45" s="159">
        <f>IF(BX45&gt;0.005,BX45*Debts!D26/12,0)</f>
        <v/>
      </c>
      <c r="BZ45" s="159" t="n">
        <v>0</v>
      </c>
      <c r="CA45" s="152">
        <f>MAX(0,BX45+BY45-BZ45)</f>
        <v/>
      </c>
      <c r="CB45" s="152">
        <f>CE44</f>
        <v/>
      </c>
      <c r="CC45" s="159">
        <f>IF(CB45&gt;0.005,CB45*Debts!D27/12,0)</f>
        <v/>
      </c>
      <c r="CD45" s="159" t="n">
        <v>0</v>
      </c>
      <c r="CE45" s="152">
        <f>MAX(0,CB45+CC45-CD45)</f>
        <v/>
      </c>
      <c r="CF45" s="152">
        <f>G45+K45+O45+S45+W45+AA45+AE45+AI45+AM45+AQ45+AU45+AY45+BC45+BG45+BK45+BO45+BS45+BW45+CA45+CE45</f>
        <v/>
      </c>
      <c r="CG45" s="159">
        <f>E45+I45+M45+Q45+U45+Y45+AC45+AG45+AK45+AO45+AS45+AW45+BA45+BE45+BI45+BM45+BQ45+BU45+BY45+CC45</f>
        <v/>
      </c>
      <c r="CH45" s="152">
        <f>CH44+CG45</f>
        <v/>
      </c>
      <c r="CI45" s="148" t="n"/>
      <c r="CJ45" s="148" t="n"/>
    </row>
    <row r="46" ht="15" customHeight="1" s="83">
      <c r="A46" s="148" t="n"/>
      <c r="B46" s="158" t="n">
        <v>42</v>
      </c>
      <c r="C46" s="152">
        <f>F46+J46+N46+R46+V46+Z46+AD46+AH46+AL46+AP46+AT46+AX46+BB46+BF46+BJ46+BN46+BR46+BV46+BZ46+CD46</f>
        <v/>
      </c>
      <c r="D46" s="152">
        <f>G45</f>
        <v/>
      </c>
      <c r="E46" s="159">
        <f>IF(D46&gt;0.005,D46*Debts!D8/12,0)</f>
        <v/>
      </c>
      <c r="F46" s="159" t="n">
        <v>0</v>
      </c>
      <c r="G46" s="152">
        <f>MAX(0,D46+E46-F46)</f>
        <v/>
      </c>
      <c r="H46" s="152">
        <f>K45</f>
        <v/>
      </c>
      <c r="I46" s="159">
        <f>IF(H46&gt;0.005,H46*Debts!D9/12,0)</f>
        <v/>
      </c>
      <c r="J46" s="159" t="n">
        <v>0</v>
      </c>
      <c r="K46" s="152">
        <f>MAX(0,H46+I46-J46)</f>
        <v/>
      </c>
      <c r="L46" s="152">
        <f>O45</f>
        <v/>
      </c>
      <c r="M46" s="159">
        <f>IF(L46&gt;0.005,L46*Debts!D10/12,0)</f>
        <v/>
      </c>
      <c r="N46" s="159" t="n">
        <v>0</v>
      </c>
      <c r="O46" s="152">
        <f>MAX(0,L46+M46-N46)</f>
        <v/>
      </c>
      <c r="P46" s="152">
        <f>S45</f>
        <v/>
      </c>
      <c r="Q46" s="159">
        <f>IF(P46&gt;0.005,P46*Debts!D11/12,0)</f>
        <v/>
      </c>
      <c r="R46" s="159" t="n">
        <v>0</v>
      </c>
      <c r="S46" s="152">
        <f>MAX(0,P46+Q46-R46)</f>
        <v/>
      </c>
      <c r="T46" s="152">
        <f>W45</f>
        <v/>
      </c>
      <c r="U46" s="159">
        <f>IF(T46&gt;0.005,T46*Debts!D12/12,0)</f>
        <v/>
      </c>
      <c r="V46" s="159" t="n">
        <v>0</v>
      </c>
      <c r="W46" s="152">
        <f>MAX(0,T46+U46-V46)</f>
        <v/>
      </c>
      <c r="X46" s="152">
        <f>AA45</f>
        <v/>
      </c>
      <c r="Y46" s="159">
        <f>IF(X46&gt;0.005,X46*Debts!D13/12,0)</f>
        <v/>
      </c>
      <c r="Z46" s="159" t="n">
        <v>0</v>
      </c>
      <c r="AA46" s="152">
        <f>MAX(0,X46+Y46-Z46)</f>
        <v/>
      </c>
      <c r="AB46" s="152">
        <f>AE45</f>
        <v/>
      </c>
      <c r="AC46" s="159">
        <f>IF(AB46&gt;0.005,AB46*Debts!D14/12,0)</f>
        <v/>
      </c>
      <c r="AD46" s="159" t="n">
        <v>0</v>
      </c>
      <c r="AE46" s="152">
        <f>MAX(0,AB46+AC46-AD46)</f>
        <v/>
      </c>
      <c r="AF46" s="152">
        <f>AI45</f>
        <v/>
      </c>
      <c r="AG46" s="159">
        <f>IF(AF46&gt;0.005,AF46*Debts!D15/12,0)</f>
        <v/>
      </c>
      <c r="AH46" s="159" t="n">
        <v>0</v>
      </c>
      <c r="AI46" s="152">
        <f>MAX(0,AF46+AG46-AH46)</f>
        <v/>
      </c>
      <c r="AJ46" s="152">
        <f>AM45</f>
        <v/>
      </c>
      <c r="AK46" s="159">
        <f>IF(AJ46&gt;0.005,AJ46*Debts!D16/12,0)</f>
        <v/>
      </c>
      <c r="AL46" s="159" t="n">
        <v>0</v>
      </c>
      <c r="AM46" s="152">
        <f>MAX(0,AJ46+AK46-AL46)</f>
        <v/>
      </c>
      <c r="AN46" s="152">
        <f>AQ45</f>
        <v/>
      </c>
      <c r="AO46" s="159">
        <f>IF(AN46&gt;0.005,AN46*Debts!D17/12,0)</f>
        <v/>
      </c>
      <c r="AP46" s="159" t="n">
        <v>0</v>
      </c>
      <c r="AQ46" s="152">
        <f>MAX(0,AN46+AO46-AP46)</f>
        <v/>
      </c>
      <c r="AR46" s="152">
        <f>AU45</f>
        <v/>
      </c>
      <c r="AS46" s="159">
        <f>IF(AR46&gt;0.005,AR46*Debts!D18/12,0)</f>
        <v/>
      </c>
      <c r="AT46" s="159" t="n">
        <v>0</v>
      </c>
      <c r="AU46" s="152">
        <f>MAX(0,AR46+AS46-AT46)</f>
        <v/>
      </c>
      <c r="AV46" s="152">
        <f>AY45</f>
        <v/>
      </c>
      <c r="AW46" s="159">
        <f>IF(AV46&gt;0.005,AV46*Debts!D19/12,0)</f>
        <v/>
      </c>
      <c r="AX46" s="159" t="n">
        <v>0</v>
      </c>
      <c r="AY46" s="152">
        <f>MAX(0,AV46+AW46-AX46)</f>
        <v/>
      </c>
      <c r="AZ46" s="152">
        <f>BC45</f>
        <v/>
      </c>
      <c r="BA46" s="159">
        <f>IF(AZ46&gt;0.005,AZ46*Debts!D20/12,0)</f>
        <v/>
      </c>
      <c r="BB46" s="159" t="n">
        <v>0</v>
      </c>
      <c r="BC46" s="152">
        <f>MAX(0,AZ46+BA46-BB46)</f>
        <v/>
      </c>
      <c r="BD46" s="152">
        <f>BG45</f>
        <v/>
      </c>
      <c r="BE46" s="159">
        <f>IF(BD46&gt;0.005,BD46*Debts!D21/12,0)</f>
        <v/>
      </c>
      <c r="BF46" s="159" t="n">
        <v>0</v>
      </c>
      <c r="BG46" s="152">
        <f>MAX(0,BD46+BE46-BF46)</f>
        <v/>
      </c>
      <c r="BH46" s="152">
        <f>BK45</f>
        <v/>
      </c>
      <c r="BI46" s="159">
        <f>IF(BH46&gt;0.005,BH46*Debts!D22/12,0)</f>
        <v/>
      </c>
      <c r="BJ46" s="159" t="n">
        <v>0</v>
      </c>
      <c r="BK46" s="152">
        <f>MAX(0,BH46+BI46-BJ46)</f>
        <v/>
      </c>
      <c r="BL46" s="152">
        <f>BO45</f>
        <v/>
      </c>
      <c r="BM46" s="159">
        <f>IF(BL46&gt;0.005,BL46*Debts!D23/12,0)</f>
        <v/>
      </c>
      <c r="BN46" s="159" t="n">
        <v>0</v>
      </c>
      <c r="BO46" s="152">
        <f>MAX(0,BL46+BM46-BN46)</f>
        <v/>
      </c>
      <c r="BP46" s="152">
        <f>BS45</f>
        <v/>
      </c>
      <c r="BQ46" s="159">
        <f>IF(BP46&gt;0.005,BP46*Debts!D24/12,0)</f>
        <v/>
      </c>
      <c r="BR46" s="159" t="n">
        <v>0</v>
      </c>
      <c r="BS46" s="152">
        <f>MAX(0,BP46+BQ46-BR46)</f>
        <v/>
      </c>
      <c r="BT46" s="152">
        <f>BW45</f>
        <v/>
      </c>
      <c r="BU46" s="159">
        <f>IF(BT46&gt;0.005,BT46*Debts!D25/12,0)</f>
        <v/>
      </c>
      <c r="BV46" s="159" t="n">
        <v>0</v>
      </c>
      <c r="BW46" s="152">
        <f>MAX(0,BT46+BU46-BV46)</f>
        <v/>
      </c>
      <c r="BX46" s="152">
        <f>CA45</f>
        <v/>
      </c>
      <c r="BY46" s="159">
        <f>IF(BX46&gt;0.005,BX46*Debts!D26/12,0)</f>
        <v/>
      </c>
      <c r="BZ46" s="159" t="n">
        <v>0</v>
      </c>
      <c r="CA46" s="152">
        <f>MAX(0,BX46+BY46-BZ46)</f>
        <v/>
      </c>
      <c r="CB46" s="152">
        <f>CE45</f>
        <v/>
      </c>
      <c r="CC46" s="159">
        <f>IF(CB46&gt;0.005,CB46*Debts!D27/12,0)</f>
        <v/>
      </c>
      <c r="CD46" s="159" t="n">
        <v>0</v>
      </c>
      <c r="CE46" s="152">
        <f>MAX(0,CB46+CC46-CD46)</f>
        <v/>
      </c>
      <c r="CF46" s="152">
        <f>G46+K46+O46+S46+W46+AA46+AE46+AI46+AM46+AQ46+AU46+AY46+BC46+BG46+BK46+BO46+BS46+BW46+CA46+CE46</f>
        <v/>
      </c>
      <c r="CG46" s="159">
        <f>E46+I46+M46+Q46+U46+Y46+AC46+AG46+AK46+AO46+AS46+AW46+BA46+BE46+BI46+BM46+BQ46+BU46+BY46+CC46</f>
        <v/>
      </c>
      <c r="CH46" s="152">
        <f>CH45+CG46</f>
        <v/>
      </c>
      <c r="CI46" s="148" t="n"/>
      <c r="CJ46" s="148" t="n"/>
    </row>
    <row r="47" ht="15" customHeight="1" s="83">
      <c r="A47" s="148" t="n"/>
      <c r="B47" s="158" t="n">
        <v>43</v>
      </c>
      <c r="C47" s="152">
        <f>F47+J47+N47+R47+V47+Z47+AD47+AH47+AL47+AP47+AT47+AX47+BB47+BF47+BJ47+BN47+BR47+BV47+BZ47+CD47</f>
        <v/>
      </c>
      <c r="D47" s="152">
        <f>G46</f>
        <v/>
      </c>
      <c r="E47" s="159">
        <f>IF(D47&gt;0.005,D47*Debts!D8/12,0)</f>
        <v/>
      </c>
      <c r="F47" s="159" t="n">
        <v>0</v>
      </c>
      <c r="G47" s="152">
        <f>MAX(0,D47+E47-F47)</f>
        <v/>
      </c>
      <c r="H47" s="152">
        <f>K46</f>
        <v/>
      </c>
      <c r="I47" s="159">
        <f>IF(H47&gt;0.005,H47*Debts!D9/12,0)</f>
        <v/>
      </c>
      <c r="J47" s="159" t="n">
        <v>0</v>
      </c>
      <c r="K47" s="152">
        <f>MAX(0,H47+I47-J47)</f>
        <v/>
      </c>
      <c r="L47" s="152">
        <f>O46</f>
        <v/>
      </c>
      <c r="M47" s="159">
        <f>IF(L47&gt;0.005,L47*Debts!D10/12,0)</f>
        <v/>
      </c>
      <c r="N47" s="159" t="n">
        <v>0</v>
      </c>
      <c r="O47" s="152">
        <f>MAX(0,L47+M47-N47)</f>
        <v/>
      </c>
      <c r="P47" s="152">
        <f>S46</f>
        <v/>
      </c>
      <c r="Q47" s="159">
        <f>IF(P47&gt;0.005,P47*Debts!D11/12,0)</f>
        <v/>
      </c>
      <c r="R47" s="159" t="n">
        <v>0</v>
      </c>
      <c r="S47" s="152">
        <f>MAX(0,P47+Q47-R47)</f>
        <v/>
      </c>
      <c r="T47" s="152">
        <f>W46</f>
        <v/>
      </c>
      <c r="U47" s="159">
        <f>IF(T47&gt;0.005,T47*Debts!D12/12,0)</f>
        <v/>
      </c>
      <c r="V47" s="159" t="n">
        <v>0</v>
      </c>
      <c r="W47" s="152">
        <f>MAX(0,T47+U47-V47)</f>
        <v/>
      </c>
      <c r="X47" s="152">
        <f>AA46</f>
        <v/>
      </c>
      <c r="Y47" s="159">
        <f>IF(X47&gt;0.005,X47*Debts!D13/12,0)</f>
        <v/>
      </c>
      <c r="Z47" s="159" t="n">
        <v>0</v>
      </c>
      <c r="AA47" s="152">
        <f>MAX(0,X47+Y47-Z47)</f>
        <v/>
      </c>
      <c r="AB47" s="152">
        <f>AE46</f>
        <v/>
      </c>
      <c r="AC47" s="159">
        <f>IF(AB47&gt;0.005,AB47*Debts!D14/12,0)</f>
        <v/>
      </c>
      <c r="AD47" s="159" t="n">
        <v>0</v>
      </c>
      <c r="AE47" s="152">
        <f>MAX(0,AB47+AC47-AD47)</f>
        <v/>
      </c>
      <c r="AF47" s="152">
        <f>AI46</f>
        <v/>
      </c>
      <c r="AG47" s="159">
        <f>IF(AF47&gt;0.005,AF47*Debts!D15/12,0)</f>
        <v/>
      </c>
      <c r="AH47" s="159" t="n">
        <v>0</v>
      </c>
      <c r="AI47" s="152">
        <f>MAX(0,AF47+AG47-AH47)</f>
        <v/>
      </c>
      <c r="AJ47" s="152">
        <f>AM46</f>
        <v/>
      </c>
      <c r="AK47" s="159">
        <f>IF(AJ47&gt;0.005,AJ47*Debts!D16/12,0)</f>
        <v/>
      </c>
      <c r="AL47" s="159" t="n">
        <v>0</v>
      </c>
      <c r="AM47" s="152">
        <f>MAX(0,AJ47+AK47-AL47)</f>
        <v/>
      </c>
      <c r="AN47" s="152">
        <f>AQ46</f>
        <v/>
      </c>
      <c r="AO47" s="159">
        <f>IF(AN47&gt;0.005,AN47*Debts!D17/12,0)</f>
        <v/>
      </c>
      <c r="AP47" s="159" t="n">
        <v>0</v>
      </c>
      <c r="AQ47" s="152">
        <f>MAX(0,AN47+AO47-AP47)</f>
        <v/>
      </c>
      <c r="AR47" s="152">
        <f>AU46</f>
        <v/>
      </c>
      <c r="AS47" s="159">
        <f>IF(AR47&gt;0.005,AR47*Debts!D18/12,0)</f>
        <v/>
      </c>
      <c r="AT47" s="159" t="n">
        <v>0</v>
      </c>
      <c r="AU47" s="152">
        <f>MAX(0,AR47+AS47-AT47)</f>
        <v/>
      </c>
      <c r="AV47" s="152">
        <f>AY46</f>
        <v/>
      </c>
      <c r="AW47" s="159">
        <f>IF(AV47&gt;0.005,AV47*Debts!D19/12,0)</f>
        <v/>
      </c>
      <c r="AX47" s="159" t="n">
        <v>0</v>
      </c>
      <c r="AY47" s="152">
        <f>MAX(0,AV47+AW47-AX47)</f>
        <v/>
      </c>
      <c r="AZ47" s="152">
        <f>BC46</f>
        <v/>
      </c>
      <c r="BA47" s="159">
        <f>IF(AZ47&gt;0.005,AZ47*Debts!D20/12,0)</f>
        <v/>
      </c>
      <c r="BB47" s="159" t="n">
        <v>0</v>
      </c>
      <c r="BC47" s="152">
        <f>MAX(0,AZ47+BA47-BB47)</f>
        <v/>
      </c>
      <c r="BD47" s="152">
        <f>BG46</f>
        <v/>
      </c>
      <c r="BE47" s="159">
        <f>IF(BD47&gt;0.005,BD47*Debts!D21/12,0)</f>
        <v/>
      </c>
      <c r="BF47" s="159" t="n">
        <v>0</v>
      </c>
      <c r="BG47" s="152">
        <f>MAX(0,BD47+BE47-BF47)</f>
        <v/>
      </c>
      <c r="BH47" s="152">
        <f>BK46</f>
        <v/>
      </c>
      <c r="BI47" s="159">
        <f>IF(BH47&gt;0.005,BH47*Debts!D22/12,0)</f>
        <v/>
      </c>
      <c r="BJ47" s="159" t="n">
        <v>0</v>
      </c>
      <c r="BK47" s="152">
        <f>MAX(0,BH47+BI47-BJ47)</f>
        <v/>
      </c>
      <c r="BL47" s="152">
        <f>BO46</f>
        <v/>
      </c>
      <c r="BM47" s="159">
        <f>IF(BL47&gt;0.005,BL47*Debts!D23/12,0)</f>
        <v/>
      </c>
      <c r="BN47" s="159" t="n">
        <v>0</v>
      </c>
      <c r="BO47" s="152">
        <f>MAX(0,BL47+BM47-BN47)</f>
        <v/>
      </c>
      <c r="BP47" s="152">
        <f>BS46</f>
        <v/>
      </c>
      <c r="BQ47" s="159">
        <f>IF(BP47&gt;0.005,BP47*Debts!D24/12,0)</f>
        <v/>
      </c>
      <c r="BR47" s="159" t="n">
        <v>0</v>
      </c>
      <c r="BS47" s="152">
        <f>MAX(0,BP47+BQ47-BR47)</f>
        <v/>
      </c>
      <c r="BT47" s="152">
        <f>BW46</f>
        <v/>
      </c>
      <c r="BU47" s="159">
        <f>IF(BT47&gt;0.005,BT47*Debts!D25/12,0)</f>
        <v/>
      </c>
      <c r="BV47" s="159" t="n">
        <v>0</v>
      </c>
      <c r="BW47" s="152">
        <f>MAX(0,BT47+BU47-BV47)</f>
        <v/>
      </c>
      <c r="BX47" s="152">
        <f>CA46</f>
        <v/>
      </c>
      <c r="BY47" s="159">
        <f>IF(BX47&gt;0.005,BX47*Debts!D26/12,0)</f>
        <v/>
      </c>
      <c r="BZ47" s="159" t="n">
        <v>0</v>
      </c>
      <c r="CA47" s="152">
        <f>MAX(0,BX47+BY47-BZ47)</f>
        <v/>
      </c>
      <c r="CB47" s="152">
        <f>CE46</f>
        <v/>
      </c>
      <c r="CC47" s="159">
        <f>IF(CB47&gt;0.005,CB47*Debts!D27/12,0)</f>
        <v/>
      </c>
      <c r="CD47" s="159" t="n">
        <v>0</v>
      </c>
      <c r="CE47" s="152">
        <f>MAX(0,CB47+CC47-CD47)</f>
        <v/>
      </c>
      <c r="CF47" s="152">
        <f>G47+K47+O47+S47+W47+AA47+AE47+AI47+AM47+AQ47+AU47+AY47+BC47+BG47+BK47+BO47+BS47+BW47+CA47+CE47</f>
        <v/>
      </c>
      <c r="CG47" s="159">
        <f>E47+I47+M47+Q47+U47+Y47+AC47+AG47+AK47+AO47+AS47+AW47+BA47+BE47+BI47+BM47+BQ47+BU47+BY47+CC47</f>
        <v/>
      </c>
      <c r="CH47" s="152">
        <f>CH46+CG47</f>
        <v/>
      </c>
      <c r="CI47" s="148" t="n"/>
      <c r="CJ47" s="148" t="n"/>
    </row>
    <row r="48" ht="15" customHeight="1" s="83">
      <c r="A48" s="148" t="n"/>
      <c r="B48" s="158" t="n">
        <v>44</v>
      </c>
      <c r="C48" s="152">
        <f>F48+J48+N48+R48+V48+Z48+AD48+AH48+AL48+AP48+AT48+AX48+BB48+BF48+BJ48+BN48+BR48+BV48+BZ48+CD48</f>
        <v/>
      </c>
      <c r="D48" s="152">
        <f>G47</f>
        <v/>
      </c>
      <c r="E48" s="159">
        <f>IF(D48&gt;0.005,D48*Debts!D8/12,0)</f>
        <v/>
      </c>
      <c r="F48" s="159" t="n">
        <v>0</v>
      </c>
      <c r="G48" s="152">
        <f>MAX(0,D48+E48-F48)</f>
        <v/>
      </c>
      <c r="H48" s="152">
        <f>K47</f>
        <v/>
      </c>
      <c r="I48" s="159">
        <f>IF(H48&gt;0.005,H48*Debts!D9/12,0)</f>
        <v/>
      </c>
      <c r="J48" s="159" t="n">
        <v>0</v>
      </c>
      <c r="K48" s="152">
        <f>MAX(0,H48+I48-J48)</f>
        <v/>
      </c>
      <c r="L48" s="152">
        <f>O47</f>
        <v/>
      </c>
      <c r="M48" s="159">
        <f>IF(L48&gt;0.005,L48*Debts!D10/12,0)</f>
        <v/>
      </c>
      <c r="N48" s="159" t="n">
        <v>0</v>
      </c>
      <c r="O48" s="152">
        <f>MAX(0,L48+M48-N48)</f>
        <v/>
      </c>
      <c r="P48" s="152">
        <f>S47</f>
        <v/>
      </c>
      <c r="Q48" s="159">
        <f>IF(P48&gt;0.005,P48*Debts!D11/12,0)</f>
        <v/>
      </c>
      <c r="R48" s="159" t="n">
        <v>0</v>
      </c>
      <c r="S48" s="152">
        <f>MAX(0,P48+Q48-R48)</f>
        <v/>
      </c>
      <c r="T48" s="152">
        <f>W47</f>
        <v/>
      </c>
      <c r="U48" s="159">
        <f>IF(T48&gt;0.005,T48*Debts!D12/12,0)</f>
        <v/>
      </c>
      <c r="V48" s="159" t="n">
        <v>0</v>
      </c>
      <c r="W48" s="152">
        <f>MAX(0,T48+U48-V48)</f>
        <v/>
      </c>
      <c r="X48" s="152">
        <f>AA47</f>
        <v/>
      </c>
      <c r="Y48" s="159">
        <f>IF(X48&gt;0.005,X48*Debts!D13/12,0)</f>
        <v/>
      </c>
      <c r="Z48" s="159" t="n">
        <v>0</v>
      </c>
      <c r="AA48" s="152">
        <f>MAX(0,X48+Y48-Z48)</f>
        <v/>
      </c>
      <c r="AB48" s="152">
        <f>AE47</f>
        <v/>
      </c>
      <c r="AC48" s="159">
        <f>IF(AB48&gt;0.005,AB48*Debts!D14/12,0)</f>
        <v/>
      </c>
      <c r="AD48" s="159" t="n">
        <v>0</v>
      </c>
      <c r="AE48" s="152">
        <f>MAX(0,AB48+AC48-AD48)</f>
        <v/>
      </c>
      <c r="AF48" s="152">
        <f>AI47</f>
        <v/>
      </c>
      <c r="AG48" s="159">
        <f>IF(AF48&gt;0.005,AF48*Debts!D15/12,0)</f>
        <v/>
      </c>
      <c r="AH48" s="159" t="n">
        <v>0</v>
      </c>
      <c r="AI48" s="152">
        <f>MAX(0,AF48+AG48-AH48)</f>
        <v/>
      </c>
      <c r="AJ48" s="152">
        <f>AM47</f>
        <v/>
      </c>
      <c r="AK48" s="159">
        <f>IF(AJ48&gt;0.005,AJ48*Debts!D16/12,0)</f>
        <v/>
      </c>
      <c r="AL48" s="159" t="n">
        <v>0</v>
      </c>
      <c r="AM48" s="152">
        <f>MAX(0,AJ48+AK48-AL48)</f>
        <v/>
      </c>
      <c r="AN48" s="152">
        <f>AQ47</f>
        <v/>
      </c>
      <c r="AO48" s="159">
        <f>IF(AN48&gt;0.005,AN48*Debts!D17/12,0)</f>
        <v/>
      </c>
      <c r="AP48" s="159" t="n">
        <v>0</v>
      </c>
      <c r="AQ48" s="152">
        <f>MAX(0,AN48+AO48-AP48)</f>
        <v/>
      </c>
      <c r="AR48" s="152">
        <f>AU47</f>
        <v/>
      </c>
      <c r="AS48" s="159">
        <f>IF(AR48&gt;0.005,AR48*Debts!D18/12,0)</f>
        <v/>
      </c>
      <c r="AT48" s="159" t="n">
        <v>0</v>
      </c>
      <c r="AU48" s="152">
        <f>MAX(0,AR48+AS48-AT48)</f>
        <v/>
      </c>
      <c r="AV48" s="152">
        <f>AY47</f>
        <v/>
      </c>
      <c r="AW48" s="159">
        <f>IF(AV48&gt;0.005,AV48*Debts!D19/12,0)</f>
        <v/>
      </c>
      <c r="AX48" s="159" t="n">
        <v>0</v>
      </c>
      <c r="AY48" s="152">
        <f>MAX(0,AV48+AW48-AX48)</f>
        <v/>
      </c>
      <c r="AZ48" s="152">
        <f>BC47</f>
        <v/>
      </c>
      <c r="BA48" s="159">
        <f>IF(AZ48&gt;0.005,AZ48*Debts!D20/12,0)</f>
        <v/>
      </c>
      <c r="BB48" s="159" t="n">
        <v>0</v>
      </c>
      <c r="BC48" s="152">
        <f>MAX(0,AZ48+BA48-BB48)</f>
        <v/>
      </c>
      <c r="BD48" s="152">
        <f>BG47</f>
        <v/>
      </c>
      <c r="BE48" s="159">
        <f>IF(BD48&gt;0.005,BD48*Debts!D21/12,0)</f>
        <v/>
      </c>
      <c r="BF48" s="159" t="n">
        <v>0</v>
      </c>
      <c r="BG48" s="152">
        <f>MAX(0,BD48+BE48-BF48)</f>
        <v/>
      </c>
      <c r="BH48" s="152">
        <f>BK47</f>
        <v/>
      </c>
      <c r="BI48" s="159">
        <f>IF(BH48&gt;0.005,BH48*Debts!D22/12,0)</f>
        <v/>
      </c>
      <c r="BJ48" s="159" t="n">
        <v>0</v>
      </c>
      <c r="BK48" s="152">
        <f>MAX(0,BH48+BI48-BJ48)</f>
        <v/>
      </c>
      <c r="BL48" s="152">
        <f>BO47</f>
        <v/>
      </c>
      <c r="BM48" s="159">
        <f>IF(BL48&gt;0.005,BL48*Debts!D23/12,0)</f>
        <v/>
      </c>
      <c r="BN48" s="159" t="n">
        <v>0</v>
      </c>
      <c r="BO48" s="152">
        <f>MAX(0,BL48+BM48-BN48)</f>
        <v/>
      </c>
      <c r="BP48" s="152">
        <f>BS47</f>
        <v/>
      </c>
      <c r="BQ48" s="159">
        <f>IF(BP48&gt;0.005,BP48*Debts!D24/12,0)</f>
        <v/>
      </c>
      <c r="BR48" s="159" t="n">
        <v>0</v>
      </c>
      <c r="BS48" s="152">
        <f>MAX(0,BP48+BQ48-BR48)</f>
        <v/>
      </c>
      <c r="BT48" s="152">
        <f>BW47</f>
        <v/>
      </c>
      <c r="BU48" s="159">
        <f>IF(BT48&gt;0.005,BT48*Debts!D25/12,0)</f>
        <v/>
      </c>
      <c r="BV48" s="159" t="n">
        <v>0</v>
      </c>
      <c r="BW48" s="152">
        <f>MAX(0,BT48+BU48-BV48)</f>
        <v/>
      </c>
      <c r="BX48" s="152">
        <f>CA47</f>
        <v/>
      </c>
      <c r="BY48" s="159">
        <f>IF(BX48&gt;0.005,BX48*Debts!D26/12,0)</f>
        <v/>
      </c>
      <c r="BZ48" s="159" t="n">
        <v>0</v>
      </c>
      <c r="CA48" s="152">
        <f>MAX(0,BX48+BY48-BZ48)</f>
        <v/>
      </c>
      <c r="CB48" s="152">
        <f>CE47</f>
        <v/>
      </c>
      <c r="CC48" s="159">
        <f>IF(CB48&gt;0.005,CB48*Debts!D27/12,0)</f>
        <v/>
      </c>
      <c r="CD48" s="159" t="n">
        <v>0</v>
      </c>
      <c r="CE48" s="152">
        <f>MAX(0,CB48+CC48-CD48)</f>
        <v/>
      </c>
      <c r="CF48" s="152">
        <f>G48+K48+O48+S48+W48+AA48+AE48+AI48+AM48+AQ48+AU48+AY48+BC48+BG48+BK48+BO48+BS48+BW48+CA48+CE48</f>
        <v/>
      </c>
      <c r="CG48" s="159">
        <f>E48+I48+M48+Q48+U48+Y48+AC48+AG48+AK48+AO48+AS48+AW48+BA48+BE48+BI48+BM48+BQ48+BU48+BY48+CC48</f>
        <v/>
      </c>
      <c r="CH48" s="152">
        <f>CH47+CG48</f>
        <v/>
      </c>
      <c r="CI48" s="148" t="n"/>
      <c r="CJ48" s="148" t="n"/>
    </row>
    <row r="49" ht="15" customHeight="1" s="83">
      <c r="A49" s="148" t="n"/>
      <c r="B49" s="158" t="n">
        <v>45</v>
      </c>
      <c r="C49" s="152">
        <f>F49+J49+N49+R49+V49+Z49+AD49+AH49+AL49+AP49+AT49+AX49+BB49+BF49+BJ49+BN49+BR49+BV49+BZ49+CD49</f>
        <v/>
      </c>
      <c r="D49" s="152">
        <f>G48</f>
        <v/>
      </c>
      <c r="E49" s="159">
        <f>IF(D49&gt;0.005,D49*Debts!D8/12,0)</f>
        <v/>
      </c>
      <c r="F49" s="159" t="n">
        <v>0</v>
      </c>
      <c r="G49" s="152">
        <f>MAX(0,D49+E49-F49)</f>
        <v/>
      </c>
      <c r="H49" s="152">
        <f>K48</f>
        <v/>
      </c>
      <c r="I49" s="159">
        <f>IF(H49&gt;0.005,H49*Debts!D9/12,0)</f>
        <v/>
      </c>
      <c r="J49" s="159" t="n">
        <v>0</v>
      </c>
      <c r="K49" s="152">
        <f>MAX(0,H49+I49-J49)</f>
        <v/>
      </c>
      <c r="L49" s="152">
        <f>O48</f>
        <v/>
      </c>
      <c r="M49" s="159">
        <f>IF(L49&gt;0.005,L49*Debts!D10/12,0)</f>
        <v/>
      </c>
      <c r="N49" s="159" t="n">
        <v>0</v>
      </c>
      <c r="O49" s="152">
        <f>MAX(0,L49+M49-N49)</f>
        <v/>
      </c>
      <c r="P49" s="152">
        <f>S48</f>
        <v/>
      </c>
      <c r="Q49" s="159">
        <f>IF(P49&gt;0.005,P49*Debts!D11/12,0)</f>
        <v/>
      </c>
      <c r="R49" s="159" t="n">
        <v>0</v>
      </c>
      <c r="S49" s="152">
        <f>MAX(0,P49+Q49-R49)</f>
        <v/>
      </c>
      <c r="T49" s="152">
        <f>W48</f>
        <v/>
      </c>
      <c r="U49" s="159">
        <f>IF(T49&gt;0.005,T49*Debts!D12/12,0)</f>
        <v/>
      </c>
      <c r="V49" s="159" t="n">
        <v>0</v>
      </c>
      <c r="W49" s="152">
        <f>MAX(0,T49+U49-V49)</f>
        <v/>
      </c>
      <c r="X49" s="152">
        <f>AA48</f>
        <v/>
      </c>
      <c r="Y49" s="159">
        <f>IF(X49&gt;0.005,X49*Debts!D13/12,0)</f>
        <v/>
      </c>
      <c r="Z49" s="159" t="n">
        <v>0</v>
      </c>
      <c r="AA49" s="152">
        <f>MAX(0,X49+Y49-Z49)</f>
        <v/>
      </c>
      <c r="AB49" s="152">
        <f>AE48</f>
        <v/>
      </c>
      <c r="AC49" s="159">
        <f>IF(AB49&gt;0.005,AB49*Debts!D14/12,0)</f>
        <v/>
      </c>
      <c r="AD49" s="159" t="n">
        <v>0</v>
      </c>
      <c r="AE49" s="152">
        <f>MAX(0,AB49+AC49-AD49)</f>
        <v/>
      </c>
      <c r="AF49" s="152">
        <f>AI48</f>
        <v/>
      </c>
      <c r="AG49" s="159">
        <f>IF(AF49&gt;0.005,AF49*Debts!D15/12,0)</f>
        <v/>
      </c>
      <c r="AH49" s="159" t="n">
        <v>0</v>
      </c>
      <c r="AI49" s="152">
        <f>MAX(0,AF49+AG49-AH49)</f>
        <v/>
      </c>
      <c r="AJ49" s="152">
        <f>AM48</f>
        <v/>
      </c>
      <c r="AK49" s="159">
        <f>IF(AJ49&gt;0.005,AJ49*Debts!D16/12,0)</f>
        <v/>
      </c>
      <c r="AL49" s="159" t="n">
        <v>0</v>
      </c>
      <c r="AM49" s="152">
        <f>MAX(0,AJ49+AK49-AL49)</f>
        <v/>
      </c>
      <c r="AN49" s="152">
        <f>AQ48</f>
        <v/>
      </c>
      <c r="AO49" s="159">
        <f>IF(AN49&gt;0.005,AN49*Debts!D17/12,0)</f>
        <v/>
      </c>
      <c r="AP49" s="159" t="n">
        <v>0</v>
      </c>
      <c r="AQ49" s="152">
        <f>MAX(0,AN49+AO49-AP49)</f>
        <v/>
      </c>
      <c r="AR49" s="152">
        <f>AU48</f>
        <v/>
      </c>
      <c r="AS49" s="159">
        <f>IF(AR49&gt;0.005,AR49*Debts!D18/12,0)</f>
        <v/>
      </c>
      <c r="AT49" s="159" t="n">
        <v>0</v>
      </c>
      <c r="AU49" s="152">
        <f>MAX(0,AR49+AS49-AT49)</f>
        <v/>
      </c>
      <c r="AV49" s="152">
        <f>AY48</f>
        <v/>
      </c>
      <c r="AW49" s="159">
        <f>IF(AV49&gt;0.005,AV49*Debts!D19/12,0)</f>
        <v/>
      </c>
      <c r="AX49" s="159" t="n">
        <v>0</v>
      </c>
      <c r="AY49" s="152">
        <f>MAX(0,AV49+AW49-AX49)</f>
        <v/>
      </c>
      <c r="AZ49" s="152">
        <f>BC48</f>
        <v/>
      </c>
      <c r="BA49" s="159">
        <f>IF(AZ49&gt;0.005,AZ49*Debts!D20/12,0)</f>
        <v/>
      </c>
      <c r="BB49" s="159" t="n">
        <v>0</v>
      </c>
      <c r="BC49" s="152">
        <f>MAX(0,AZ49+BA49-BB49)</f>
        <v/>
      </c>
      <c r="BD49" s="152">
        <f>BG48</f>
        <v/>
      </c>
      <c r="BE49" s="159">
        <f>IF(BD49&gt;0.005,BD49*Debts!D21/12,0)</f>
        <v/>
      </c>
      <c r="BF49" s="159" t="n">
        <v>0</v>
      </c>
      <c r="BG49" s="152">
        <f>MAX(0,BD49+BE49-BF49)</f>
        <v/>
      </c>
      <c r="BH49" s="152">
        <f>BK48</f>
        <v/>
      </c>
      <c r="BI49" s="159">
        <f>IF(BH49&gt;0.005,BH49*Debts!D22/12,0)</f>
        <v/>
      </c>
      <c r="BJ49" s="159" t="n">
        <v>0</v>
      </c>
      <c r="BK49" s="152">
        <f>MAX(0,BH49+BI49-BJ49)</f>
        <v/>
      </c>
      <c r="BL49" s="152">
        <f>BO48</f>
        <v/>
      </c>
      <c r="BM49" s="159">
        <f>IF(BL49&gt;0.005,BL49*Debts!D23/12,0)</f>
        <v/>
      </c>
      <c r="BN49" s="159" t="n">
        <v>0</v>
      </c>
      <c r="BO49" s="152">
        <f>MAX(0,BL49+BM49-BN49)</f>
        <v/>
      </c>
      <c r="BP49" s="152">
        <f>BS48</f>
        <v/>
      </c>
      <c r="BQ49" s="159">
        <f>IF(BP49&gt;0.005,BP49*Debts!D24/12,0)</f>
        <v/>
      </c>
      <c r="BR49" s="159" t="n">
        <v>0</v>
      </c>
      <c r="BS49" s="152">
        <f>MAX(0,BP49+BQ49-BR49)</f>
        <v/>
      </c>
      <c r="BT49" s="152">
        <f>BW48</f>
        <v/>
      </c>
      <c r="BU49" s="159">
        <f>IF(BT49&gt;0.005,BT49*Debts!D25/12,0)</f>
        <v/>
      </c>
      <c r="BV49" s="159" t="n">
        <v>0</v>
      </c>
      <c r="BW49" s="152">
        <f>MAX(0,BT49+BU49-BV49)</f>
        <v/>
      </c>
      <c r="BX49" s="152">
        <f>CA48</f>
        <v/>
      </c>
      <c r="BY49" s="159">
        <f>IF(BX49&gt;0.005,BX49*Debts!D26/12,0)</f>
        <v/>
      </c>
      <c r="BZ49" s="159" t="n">
        <v>0</v>
      </c>
      <c r="CA49" s="152">
        <f>MAX(0,BX49+BY49-BZ49)</f>
        <v/>
      </c>
      <c r="CB49" s="152">
        <f>CE48</f>
        <v/>
      </c>
      <c r="CC49" s="159">
        <f>IF(CB49&gt;0.005,CB49*Debts!D27/12,0)</f>
        <v/>
      </c>
      <c r="CD49" s="159" t="n">
        <v>0</v>
      </c>
      <c r="CE49" s="152">
        <f>MAX(0,CB49+CC49-CD49)</f>
        <v/>
      </c>
      <c r="CF49" s="152">
        <f>G49+K49+O49+S49+W49+AA49+AE49+AI49+AM49+AQ49+AU49+AY49+BC49+BG49+BK49+BO49+BS49+BW49+CA49+CE49</f>
        <v/>
      </c>
      <c r="CG49" s="159">
        <f>E49+I49+M49+Q49+U49+Y49+AC49+AG49+AK49+AO49+AS49+AW49+BA49+BE49+BI49+BM49+BQ49+BU49+BY49+CC49</f>
        <v/>
      </c>
      <c r="CH49" s="152">
        <f>CH48+CG49</f>
        <v/>
      </c>
      <c r="CI49" s="148" t="n"/>
      <c r="CJ49" s="148" t="n"/>
    </row>
    <row r="50" ht="15" customHeight="1" s="83">
      <c r="A50" s="148" t="n"/>
      <c r="B50" s="158" t="n">
        <v>46</v>
      </c>
      <c r="C50" s="152">
        <f>F50+J50+N50+R50+V50+Z50+AD50+AH50+AL50+AP50+AT50+AX50+BB50+BF50+BJ50+BN50+BR50+BV50+BZ50+CD50</f>
        <v/>
      </c>
      <c r="D50" s="152">
        <f>G49</f>
        <v/>
      </c>
      <c r="E50" s="159">
        <f>IF(D50&gt;0.005,D50*Debts!D8/12,0)</f>
        <v/>
      </c>
      <c r="F50" s="159" t="n">
        <v>0</v>
      </c>
      <c r="G50" s="152">
        <f>MAX(0,D50+E50-F50)</f>
        <v/>
      </c>
      <c r="H50" s="152">
        <f>K49</f>
        <v/>
      </c>
      <c r="I50" s="159">
        <f>IF(H50&gt;0.005,H50*Debts!D9/12,0)</f>
        <v/>
      </c>
      <c r="J50" s="159" t="n">
        <v>0</v>
      </c>
      <c r="K50" s="152">
        <f>MAX(0,H50+I50-J50)</f>
        <v/>
      </c>
      <c r="L50" s="152">
        <f>O49</f>
        <v/>
      </c>
      <c r="M50" s="159">
        <f>IF(L50&gt;0.005,L50*Debts!D10/12,0)</f>
        <v/>
      </c>
      <c r="N50" s="159" t="n">
        <v>0</v>
      </c>
      <c r="O50" s="152">
        <f>MAX(0,L50+M50-N50)</f>
        <v/>
      </c>
      <c r="P50" s="152">
        <f>S49</f>
        <v/>
      </c>
      <c r="Q50" s="159">
        <f>IF(P50&gt;0.005,P50*Debts!D11/12,0)</f>
        <v/>
      </c>
      <c r="R50" s="159" t="n">
        <v>0</v>
      </c>
      <c r="S50" s="152">
        <f>MAX(0,P50+Q50-R50)</f>
        <v/>
      </c>
      <c r="T50" s="152">
        <f>W49</f>
        <v/>
      </c>
      <c r="U50" s="159">
        <f>IF(T50&gt;0.005,T50*Debts!D12/12,0)</f>
        <v/>
      </c>
      <c r="V50" s="159" t="n">
        <v>0</v>
      </c>
      <c r="W50" s="152">
        <f>MAX(0,T50+U50-V50)</f>
        <v/>
      </c>
      <c r="X50" s="152">
        <f>AA49</f>
        <v/>
      </c>
      <c r="Y50" s="159">
        <f>IF(X50&gt;0.005,X50*Debts!D13/12,0)</f>
        <v/>
      </c>
      <c r="Z50" s="159" t="n">
        <v>0</v>
      </c>
      <c r="AA50" s="152">
        <f>MAX(0,X50+Y50-Z50)</f>
        <v/>
      </c>
      <c r="AB50" s="152">
        <f>AE49</f>
        <v/>
      </c>
      <c r="AC50" s="159">
        <f>IF(AB50&gt;0.005,AB50*Debts!D14/12,0)</f>
        <v/>
      </c>
      <c r="AD50" s="159" t="n">
        <v>0</v>
      </c>
      <c r="AE50" s="152">
        <f>MAX(0,AB50+AC50-AD50)</f>
        <v/>
      </c>
      <c r="AF50" s="152">
        <f>AI49</f>
        <v/>
      </c>
      <c r="AG50" s="159">
        <f>IF(AF50&gt;0.005,AF50*Debts!D15/12,0)</f>
        <v/>
      </c>
      <c r="AH50" s="159" t="n">
        <v>0</v>
      </c>
      <c r="AI50" s="152">
        <f>MAX(0,AF50+AG50-AH50)</f>
        <v/>
      </c>
      <c r="AJ50" s="152">
        <f>AM49</f>
        <v/>
      </c>
      <c r="AK50" s="159">
        <f>IF(AJ50&gt;0.005,AJ50*Debts!D16/12,0)</f>
        <v/>
      </c>
      <c r="AL50" s="159" t="n">
        <v>0</v>
      </c>
      <c r="AM50" s="152">
        <f>MAX(0,AJ50+AK50-AL50)</f>
        <v/>
      </c>
      <c r="AN50" s="152">
        <f>AQ49</f>
        <v/>
      </c>
      <c r="AO50" s="159">
        <f>IF(AN50&gt;0.005,AN50*Debts!D17/12,0)</f>
        <v/>
      </c>
      <c r="AP50" s="159" t="n">
        <v>0</v>
      </c>
      <c r="AQ50" s="152">
        <f>MAX(0,AN50+AO50-AP50)</f>
        <v/>
      </c>
      <c r="AR50" s="152">
        <f>AU49</f>
        <v/>
      </c>
      <c r="AS50" s="159">
        <f>IF(AR50&gt;0.005,AR50*Debts!D18/12,0)</f>
        <v/>
      </c>
      <c r="AT50" s="159" t="n">
        <v>0</v>
      </c>
      <c r="AU50" s="152">
        <f>MAX(0,AR50+AS50-AT50)</f>
        <v/>
      </c>
      <c r="AV50" s="152">
        <f>AY49</f>
        <v/>
      </c>
      <c r="AW50" s="159">
        <f>IF(AV50&gt;0.005,AV50*Debts!D19/12,0)</f>
        <v/>
      </c>
      <c r="AX50" s="159" t="n">
        <v>0</v>
      </c>
      <c r="AY50" s="152">
        <f>MAX(0,AV50+AW50-AX50)</f>
        <v/>
      </c>
      <c r="AZ50" s="152">
        <f>BC49</f>
        <v/>
      </c>
      <c r="BA50" s="159">
        <f>IF(AZ50&gt;0.005,AZ50*Debts!D20/12,0)</f>
        <v/>
      </c>
      <c r="BB50" s="159" t="n">
        <v>0</v>
      </c>
      <c r="BC50" s="152">
        <f>MAX(0,AZ50+BA50-BB50)</f>
        <v/>
      </c>
      <c r="BD50" s="152">
        <f>BG49</f>
        <v/>
      </c>
      <c r="BE50" s="159">
        <f>IF(BD50&gt;0.005,BD50*Debts!D21/12,0)</f>
        <v/>
      </c>
      <c r="BF50" s="159" t="n">
        <v>0</v>
      </c>
      <c r="BG50" s="152">
        <f>MAX(0,BD50+BE50-BF50)</f>
        <v/>
      </c>
      <c r="BH50" s="152">
        <f>BK49</f>
        <v/>
      </c>
      <c r="BI50" s="159">
        <f>IF(BH50&gt;0.005,BH50*Debts!D22/12,0)</f>
        <v/>
      </c>
      <c r="BJ50" s="159" t="n">
        <v>0</v>
      </c>
      <c r="BK50" s="152">
        <f>MAX(0,BH50+BI50-BJ50)</f>
        <v/>
      </c>
      <c r="BL50" s="152">
        <f>BO49</f>
        <v/>
      </c>
      <c r="BM50" s="159">
        <f>IF(BL50&gt;0.005,BL50*Debts!D23/12,0)</f>
        <v/>
      </c>
      <c r="BN50" s="159" t="n">
        <v>0</v>
      </c>
      <c r="BO50" s="152">
        <f>MAX(0,BL50+BM50-BN50)</f>
        <v/>
      </c>
      <c r="BP50" s="152">
        <f>BS49</f>
        <v/>
      </c>
      <c r="BQ50" s="159">
        <f>IF(BP50&gt;0.005,BP50*Debts!D24/12,0)</f>
        <v/>
      </c>
      <c r="BR50" s="159" t="n">
        <v>0</v>
      </c>
      <c r="BS50" s="152">
        <f>MAX(0,BP50+BQ50-BR50)</f>
        <v/>
      </c>
      <c r="BT50" s="152">
        <f>BW49</f>
        <v/>
      </c>
      <c r="BU50" s="159">
        <f>IF(BT50&gt;0.005,BT50*Debts!D25/12,0)</f>
        <v/>
      </c>
      <c r="BV50" s="159" t="n">
        <v>0</v>
      </c>
      <c r="BW50" s="152">
        <f>MAX(0,BT50+BU50-BV50)</f>
        <v/>
      </c>
      <c r="BX50" s="152">
        <f>CA49</f>
        <v/>
      </c>
      <c r="BY50" s="159">
        <f>IF(BX50&gt;0.005,BX50*Debts!D26/12,0)</f>
        <v/>
      </c>
      <c r="BZ50" s="159" t="n">
        <v>0</v>
      </c>
      <c r="CA50" s="152">
        <f>MAX(0,BX50+BY50-BZ50)</f>
        <v/>
      </c>
      <c r="CB50" s="152">
        <f>CE49</f>
        <v/>
      </c>
      <c r="CC50" s="159">
        <f>IF(CB50&gt;0.005,CB50*Debts!D27/12,0)</f>
        <v/>
      </c>
      <c r="CD50" s="159" t="n">
        <v>0</v>
      </c>
      <c r="CE50" s="152">
        <f>MAX(0,CB50+CC50-CD50)</f>
        <v/>
      </c>
      <c r="CF50" s="152">
        <f>G50+K50+O50+S50+W50+AA50+AE50+AI50+AM50+AQ50+AU50+AY50+BC50+BG50+BK50+BO50+BS50+BW50+CA50+CE50</f>
        <v/>
      </c>
      <c r="CG50" s="159">
        <f>E50+I50+M50+Q50+U50+Y50+AC50+AG50+AK50+AO50+AS50+AW50+BA50+BE50+BI50+BM50+BQ50+BU50+BY50+CC50</f>
        <v/>
      </c>
      <c r="CH50" s="152">
        <f>CH49+CG50</f>
        <v/>
      </c>
      <c r="CI50" s="148" t="n"/>
      <c r="CJ50" s="148" t="n"/>
    </row>
    <row r="51" ht="15" customHeight="1" s="83">
      <c r="A51" s="148" t="n"/>
      <c r="B51" s="158" t="n">
        <v>47</v>
      </c>
      <c r="C51" s="152">
        <f>F51+J51+N51+R51+V51+Z51+AD51+AH51+AL51+AP51+AT51+AX51+BB51+BF51+BJ51+BN51+BR51+BV51+BZ51+CD51</f>
        <v/>
      </c>
      <c r="D51" s="152">
        <f>G50</f>
        <v/>
      </c>
      <c r="E51" s="159">
        <f>IF(D51&gt;0.005,D51*Debts!D8/12,0)</f>
        <v/>
      </c>
      <c r="F51" s="159" t="n">
        <v>0</v>
      </c>
      <c r="G51" s="152">
        <f>MAX(0,D51+E51-F51)</f>
        <v/>
      </c>
      <c r="H51" s="152">
        <f>K50</f>
        <v/>
      </c>
      <c r="I51" s="159">
        <f>IF(H51&gt;0.005,H51*Debts!D9/12,0)</f>
        <v/>
      </c>
      <c r="J51" s="159" t="n">
        <v>0</v>
      </c>
      <c r="K51" s="152">
        <f>MAX(0,H51+I51-J51)</f>
        <v/>
      </c>
      <c r="L51" s="152">
        <f>O50</f>
        <v/>
      </c>
      <c r="M51" s="159">
        <f>IF(L51&gt;0.005,L51*Debts!D10/12,0)</f>
        <v/>
      </c>
      <c r="N51" s="159" t="n">
        <v>0</v>
      </c>
      <c r="O51" s="152">
        <f>MAX(0,L51+M51-N51)</f>
        <v/>
      </c>
      <c r="P51" s="152">
        <f>S50</f>
        <v/>
      </c>
      <c r="Q51" s="159">
        <f>IF(P51&gt;0.005,P51*Debts!D11/12,0)</f>
        <v/>
      </c>
      <c r="R51" s="159" t="n">
        <v>0</v>
      </c>
      <c r="S51" s="152">
        <f>MAX(0,P51+Q51-R51)</f>
        <v/>
      </c>
      <c r="T51" s="152">
        <f>W50</f>
        <v/>
      </c>
      <c r="U51" s="159">
        <f>IF(T51&gt;0.005,T51*Debts!D12/12,0)</f>
        <v/>
      </c>
      <c r="V51" s="159" t="n">
        <v>0</v>
      </c>
      <c r="W51" s="152">
        <f>MAX(0,T51+U51-V51)</f>
        <v/>
      </c>
      <c r="X51" s="152">
        <f>AA50</f>
        <v/>
      </c>
      <c r="Y51" s="159">
        <f>IF(X51&gt;0.005,X51*Debts!D13/12,0)</f>
        <v/>
      </c>
      <c r="Z51" s="159" t="n">
        <v>0</v>
      </c>
      <c r="AA51" s="152">
        <f>MAX(0,X51+Y51-Z51)</f>
        <v/>
      </c>
      <c r="AB51" s="152">
        <f>AE50</f>
        <v/>
      </c>
      <c r="AC51" s="159">
        <f>IF(AB51&gt;0.005,AB51*Debts!D14/12,0)</f>
        <v/>
      </c>
      <c r="AD51" s="159" t="n">
        <v>0</v>
      </c>
      <c r="AE51" s="152">
        <f>MAX(0,AB51+AC51-AD51)</f>
        <v/>
      </c>
      <c r="AF51" s="152">
        <f>AI50</f>
        <v/>
      </c>
      <c r="AG51" s="159">
        <f>IF(AF51&gt;0.005,AF51*Debts!D15/12,0)</f>
        <v/>
      </c>
      <c r="AH51" s="159" t="n">
        <v>0</v>
      </c>
      <c r="AI51" s="152">
        <f>MAX(0,AF51+AG51-AH51)</f>
        <v/>
      </c>
      <c r="AJ51" s="152">
        <f>AM50</f>
        <v/>
      </c>
      <c r="AK51" s="159">
        <f>IF(AJ51&gt;0.005,AJ51*Debts!D16/12,0)</f>
        <v/>
      </c>
      <c r="AL51" s="159" t="n">
        <v>0</v>
      </c>
      <c r="AM51" s="152">
        <f>MAX(0,AJ51+AK51-AL51)</f>
        <v/>
      </c>
      <c r="AN51" s="152">
        <f>AQ50</f>
        <v/>
      </c>
      <c r="AO51" s="159">
        <f>IF(AN51&gt;0.005,AN51*Debts!D17/12,0)</f>
        <v/>
      </c>
      <c r="AP51" s="159" t="n">
        <v>0</v>
      </c>
      <c r="AQ51" s="152">
        <f>MAX(0,AN51+AO51-AP51)</f>
        <v/>
      </c>
      <c r="AR51" s="152">
        <f>AU50</f>
        <v/>
      </c>
      <c r="AS51" s="159">
        <f>IF(AR51&gt;0.005,AR51*Debts!D18/12,0)</f>
        <v/>
      </c>
      <c r="AT51" s="159" t="n">
        <v>0</v>
      </c>
      <c r="AU51" s="152">
        <f>MAX(0,AR51+AS51-AT51)</f>
        <v/>
      </c>
      <c r="AV51" s="152">
        <f>AY50</f>
        <v/>
      </c>
      <c r="AW51" s="159">
        <f>IF(AV51&gt;0.005,AV51*Debts!D19/12,0)</f>
        <v/>
      </c>
      <c r="AX51" s="159" t="n">
        <v>0</v>
      </c>
      <c r="AY51" s="152">
        <f>MAX(0,AV51+AW51-AX51)</f>
        <v/>
      </c>
      <c r="AZ51" s="152">
        <f>BC50</f>
        <v/>
      </c>
      <c r="BA51" s="159">
        <f>IF(AZ51&gt;0.005,AZ51*Debts!D20/12,0)</f>
        <v/>
      </c>
      <c r="BB51" s="159" t="n">
        <v>0</v>
      </c>
      <c r="BC51" s="152">
        <f>MAX(0,AZ51+BA51-BB51)</f>
        <v/>
      </c>
      <c r="BD51" s="152">
        <f>BG50</f>
        <v/>
      </c>
      <c r="BE51" s="159">
        <f>IF(BD51&gt;0.005,BD51*Debts!D21/12,0)</f>
        <v/>
      </c>
      <c r="BF51" s="159" t="n">
        <v>0</v>
      </c>
      <c r="BG51" s="152">
        <f>MAX(0,BD51+BE51-BF51)</f>
        <v/>
      </c>
      <c r="BH51" s="152">
        <f>BK50</f>
        <v/>
      </c>
      <c r="BI51" s="159">
        <f>IF(BH51&gt;0.005,BH51*Debts!D22/12,0)</f>
        <v/>
      </c>
      <c r="BJ51" s="159" t="n">
        <v>0</v>
      </c>
      <c r="BK51" s="152">
        <f>MAX(0,BH51+BI51-BJ51)</f>
        <v/>
      </c>
      <c r="BL51" s="152">
        <f>BO50</f>
        <v/>
      </c>
      <c r="BM51" s="159">
        <f>IF(BL51&gt;0.005,BL51*Debts!D23/12,0)</f>
        <v/>
      </c>
      <c r="BN51" s="159" t="n">
        <v>0</v>
      </c>
      <c r="BO51" s="152">
        <f>MAX(0,BL51+BM51-BN51)</f>
        <v/>
      </c>
      <c r="BP51" s="152">
        <f>BS50</f>
        <v/>
      </c>
      <c r="BQ51" s="159">
        <f>IF(BP51&gt;0.005,BP51*Debts!D24/12,0)</f>
        <v/>
      </c>
      <c r="BR51" s="159" t="n">
        <v>0</v>
      </c>
      <c r="BS51" s="152">
        <f>MAX(0,BP51+BQ51-BR51)</f>
        <v/>
      </c>
      <c r="BT51" s="152">
        <f>BW50</f>
        <v/>
      </c>
      <c r="BU51" s="159">
        <f>IF(BT51&gt;0.005,BT51*Debts!D25/12,0)</f>
        <v/>
      </c>
      <c r="BV51" s="159" t="n">
        <v>0</v>
      </c>
      <c r="BW51" s="152">
        <f>MAX(0,BT51+BU51-BV51)</f>
        <v/>
      </c>
      <c r="BX51" s="152">
        <f>CA50</f>
        <v/>
      </c>
      <c r="BY51" s="159">
        <f>IF(BX51&gt;0.005,BX51*Debts!D26/12,0)</f>
        <v/>
      </c>
      <c r="BZ51" s="159" t="n">
        <v>0</v>
      </c>
      <c r="CA51" s="152">
        <f>MAX(0,BX51+BY51-BZ51)</f>
        <v/>
      </c>
      <c r="CB51" s="152">
        <f>CE50</f>
        <v/>
      </c>
      <c r="CC51" s="159">
        <f>IF(CB51&gt;0.005,CB51*Debts!D27/12,0)</f>
        <v/>
      </c>
      <c r="CD51" s="159" t="n">
        <v>0</v>
      </c>
      <c r="CE51" s="152">
        <f>MAX(0,CB51+CC51-CD51)</f>
        <v/>
      </c>
      <c r="CF51" s="152">
        <f>G51+K51+O51+S51+W51+AA51+AE51+AI51+AM51+AQ51+AU51+AY51+BC51+BG51+BK51+BO51+BS51+BW51+CA51+CE51</f>
        <v/>
      </c>
      <c r="CG51" s="159">
        <f>E51+I51+M51+Q51+U51+Y51+AC51+AG51+AK51+AO51+AS51+AW51+BA51+BE51+BI51+BM51+BQ51+BU51+BY51+CC51</f>
        <v/>
      </c>
      <c r="CH51" s="152">
        <f>CH50+CG51</f>
        <v/>
      </c>
      <c r="CI51" s="148" t="n"/>
      <c r="CJ51" s="148" t="n"/>
    </row>
    <row r="52" ht="15" customHeight="1" s="83">
      <c r="A52" s="148" t="n"/>
      <c r="B52" s="158" t="n">
        <v>48</v>
      </c>
      <c r="C52" s="152">
        <f>F52+J52+N52+R52+V52+Z52+AD52+AH52+AL52+AP52+AT52+AX52+BB52+BF52+BJ52+BN52+BR52+BV52+BZ52+CD52</f>
        <v/>
      </c>
      <c r="D52" s="152">
        <f>G51</f>
        <v/>
      </c>
      <c r="E52" s="159">
        <f>IF(D52&gt;0.005,D52*Debts!D8/12,0)</f>
        <v/>
      </c>
      <c r="F52" s="159" t="n">
        <v>0</v>
      </c>
      <c r="G52" s="152">
        <f>MAX(0,D52+E52-F52)</f>
        <v/>
      </c>
      <c r="H52" s="152">
        <f>K51</f>
        <v/>
      </c>
      <c r="I52" s="159">
        <f>IF(H52&gt;0.005,H52*Debts!D9/12,0)</f>
        <v/>
      </c>
      <c r="J52" s="159" t="n">
        <v>0</v>
      </c>
      <c r="K52" s="152">
        <f>MAX(0,H52+I52-J52)</f>
        <v/>
      </c>
      <c r="L52" s="152">
        <f>O51</f>
        <v/>
      </c>
      <c r="M52" s="159">
        <f>IF(L52&gt;0.005,L52*Debts!D10/12,0)</f>
        <v/>
      </c>
      <c r="N52" s="159" t="n">
        <v>0</v>
      </c>
      <c r="O52" s="152">
        <f>MAX(0,L52+M52-N52)</f>
        <v/>
      </c>
      <c r="P52" s="152">
        <f>S51</f>
        <v/>
      </c>
      <c r="Q52" s="159">
        <f>IF(P52&gt;0.005,P52*Debts!D11/12,0)</f>
        <v/>
      </c>
      <c r="R52" s="159" t="n">
        <v>0</v>
      </c>
      <c r="S52" s="152">
        <f>MAX(0,P52+Q52-R52)</f>
        <v/>
      </c>
      <c r="T52" s="152">
        <f>W51</f>
        <v/>
      </c>
      <c r="U52" s="159">
        <f>IF(T52&gt;0.005,T52*Debts!D12/12,0)</f>
        <v/>
      </c>
      <c r="V52" s="159" t="n">
        <v>0</v>
      </c>
      <c r="W52" s="152">
        <f>MAX(0,T52+U52-V52)</f>
        <v/>
      </c>
      <c r="X52" s="152">
        <f>AA51</f>
        <v/>
      </c>
      <c r="Y52" s="159">
        <f>IF(X52&gt;0.005,X52*Debts!D13/12,0)</f>
        <v/>
      </c>
      <c r="Z52" s="159" t="n">
        <v>0</v>
      </c>
      <c r="AA52" s="152">
        <f>MAX(0,X52+Y52-Z52)</f>
        <v/>
      </c>
      <c r="AB52" s="152">
        <f>AE51</f>
        <v/>
      </c>
      <c r="AC52" s="159">
        <f>IF(AB52&gt;0.005,AB52*Debts!D14/12,0)</f>
        <v/>
      </c>
      <c r="AD52" s="159" t="n">
        <v>0</v>
      </c>
      <c r="AE52" s="152">
        <f>MAX(0,AB52+AC52-AD52)</f>
        <v/>
      </c>
      <c r="AF52" s="152">
        <f>AI51</f>
        <v/>
      </c>
      <c r="AG52" s="159">
        <f>IF(AF52&gt;0.005,AF52*Debts!D15/12,0)</f>
        <v/>
      </c>
      <c r="AH52" s="159" t="n">
        <v>0</v>
      </c>
      <c r="AI52" s="152">
        <f>MAX(0,AF52+AG52-AH52)</f>
        <v/>
      </c>
      <c r="AJ52" s="152">
        <f>AM51</f>
        <v/>
      </c>
      <c r="AK52" s="159">
        <f>IF(AJ52&gt;0.005,AJ52*Debts!D16/12,0)</f>
        <v/>
      </c>
      <c r="AL52" s="159" t="n">
        <v>0</v>
      </c>
      <c r="AM52" s="152">
        <f>MAX(0,AJ52+AK52-AL52)</f>
        <v/>
      </c>
      <c r="AN52" s="152">
        <f>AQ51</f>
        <v/>
      </c>
      <c r="AO52" s="159">
        <f>IF(AN52&gt;0.005,AN52*Debts!D17/12,0)</f>
        <v/>
      </c>
      <c r="AP52" s="159" t="n">
        <v>0</v>
      </c>
      <c r="AQ52" s="152">
        <f>MAX(0,AN52+AO52-AP52)</f>
        <v/>
      </c>
      <c r="AR52" s="152">
        <f>AU51</f>
        <v/>
      </c>
      <c r="AS52" s="159">
        <f>IF(AR52&gt;0.005,AR52*Debts!D18/12,0)</f>
        <v/>
      </c>
      <c r="AT52" s="159" t="n">
        <v>0</v>
      </c>
      <c r="AU52" s="152">
        <f>MAX(0,AR52+AS52-AT52)</f>
        <v/>
      </c>
      <c r="AV52" s="152">
        <f>AY51</f>
        <v/>
      </c>
      <c r="AW52" s="159">
        <f>IF(AV52&gt;0.005,AV52*Debts!D19/12,0)</f>
        <v/>
      </c>
      <c r="AX52" s="159" t="n">
        <v>0</v>
      </c>
      <c r="AY52" s="152">
        <f>MAX(0,AV52+AW52-AX52)</f>
        <v/>
      </c>
      <c r="AZ52" s="152">
        <f>BC51</f>
        <v/>
      </c>
      <c r="BA52" s="159">
        <f>IF(AZ52&gt;0.005,AZ52*Debts!D20/12,0)</f>
        <v/>
      </c>
      <c r="BB52" s="159" t="n">
        <v>0</v>
      </c>
      <c r="BC52" s="152">
        <f>MAX(0,AZ52+BA52-BB52)</f>
        <v/>
      </c>
      <c r="BD52" s="152">
        <f>BG51</f>
        <v/>
      </c>
      <c r="BE52" s="159">
        <f>IF(BD52&gt;0.005,BD52*Debts!D21/12,0)</f>
        <v/>
      </c>
      <c r="BF52" s="159" t="n">
        <v>0</v>
      </c>
      <c r="BG52" s="152">
        <f>MAX(0,BD52+BE52-BF52)</f>
        <v/>
      </c>
      <c r="BH52" s="152">
        <f>BK51</f>
        <v/>
      </c>
      <c r="BI52" s="159">
        <f>IF(BH52&gt;0.005,BH52*Debts!D22/12,0)</f>
        <v/>
      </c>
      <c r="BJ52" s="159" t="n">
        <v>0</v>
      </c>
      <c r="BK52" s="152">
        <f>MAX(0,BH52+BI52-BJ52)</f>
        <v/>
      </c>
      <c r="BL52" s="152">
        <f>BO51</f>
        <v/>
      </c>
      <c r="BM52" s="159">
        <f>IF(BL52&gt;0.005,BL52*Debts!D23/12,0)</f>
        <v/>
      </c>
      <c r="BN52" s="159" t="n">
        <v>0</v>
      </c>
      <c r="BO52" s="152">
        <f>MAX(0,BL52+BM52-BN52)</f>
        <v/>
      </c>
      <c r="BP52" s="152">
        <f>BS51</f>
        <v/>
      </c>
      <c r="BQ52" s="159">
        <f>IF(BP52&gt;0.005,BP52*Debts!D24/12,0)</f>
        <v/>
      </c>
      <c r="BR52" s="159" t="n">
        <v>0</v>
      </c>
      <c r="BS52" s="152">
        <f>MAX(0,BP52+BQ52-BR52)</f>
        <v/>
      </c>
      <c r="BT52" s="152">
        <f>BW51</f>
        <v/>
      </c>
      <c r="BU52" s="159">
        <f>IF(BT52&gt;0.005,BT52*Debts!D25/12,0)</f>
        <v/>
      </c>
      <c r="BV52" s="159" t="n">
        <v>0</v>
      </c>
      <c r="BW52" s="152">
        <f>MAX(0,BT52+BU52-BV52)</f>
        <v/>
      </c>
      <c r="BX52" s="152">
        <f>CA51</f>
        <v/>
      </c>
      <c r="BY52" s="159">
        <f>IF(BX52&gt;0.005,BX52*Debts!D26/12,0)</f>
        <v/>
      </c>
      <c r="BZ52" s="159" t="n">
        <v>0</v>
      </c>
      <c r="CA52" s="152">
        <f>MAX(0,BX52+BY52-BZ52)</f>
        <v/>
      </c>
      <c r="CB52" s="152">
        <f>CE51</f>
        <v/>
      </c>
      <c r="CC52" s="159">
        <f>IF(CB52&gt;0.005,CB52*Debts!D27/12,0)</f>
        <v/>
      </c>
      <c r="CD52" s="159" t="n">
        <v>0</v>
      </c>
      <c r="CE52" s="152">
        <f>MAX(0,CB52+CC52-CD52)</f>
        <v/>
      </c>
      <c r="CF52" s="152">
        <f>G52+K52+O52+S52+W52+AA52+AE52+AI52+AM52+AQ52+AU52+AY52+BC52+BG52+BK52+BO52+BS52+BW52+CA52+CE52</f>
        <v/>
      </c>
      <c r="CG52" s="159">
        <f>E52+I52+M52+Q52+U52+Y52+AC52+AG52+AK52+AO52+AS52+AW52+BA52+BE52+BI52+BM52+BQ52+BU52+BY52+CC52</f>
        <v/>
      </c>
      <c r="CH52" s="152">
        <f>CH51+CG52</f>
        <v/>
      </c>
      <c r="CI52" s="148" t="n"/>
      <c r="CJ52" s="148" t="n"/>
    </row>
    <row r="53" ht="15" customHeight="1" s="83">
      <c r="A53" s="148" t="n"/>
      <c r="B53" s="158" t="n">
        <v>49</v>
      </c>
      <c r="C53" s="152">
        <f>F53+J53+N53+R53+V53+Z53+AD53+AH53+AL53+AP53+AT53+AX53+BB53+BF53+BJ53+BN53+BR53+BV53+BZ53+CD53</f>
        <v/>
      </c>
      <c r="D53" s="152">
        <f>G52</f>
        <v/>
      </c>
      <c r="E53" s="159">
        <f>IF(D53&gt;0.005,D53*Debts!D8/12,0)</f>
        <v/>
      </c>
      <c r="F53" s="159" t="n">
        <v>0</v>
      </c>
      <c r="G53" s="152">
        <f>MAX(0,D53+E53-F53)</f>
        <v/>
      </c>
      <c r="H53" s="152">
        <f>K52</f>
        <v/>
      </c>
      <c r="I53" s="159">
        <f>IF(H53&gt;0.005,H53*Debts!D9/12,0)</f>
        <v/>
      </c>
      <c r="J53" s="159" t="n">
        <v>0</v>
      </c>
      <c r="K53" s="152">
        <f>MAX(0,H53+I53-J53)</f>
        <v/>
      </c>
      <c r="L53" s="152">
        <f>O52</f>
        <v/>
      </c>
      <c r="M53" s="159">
        <f>IF(L53&gt;0.005,L53*Debts!D10/12,0)</f>
        <v/>
      </c>
      <c r="N53" s="159" t="n">
        <v>0</v>
      </c>
      <c r="O53" s="152">
        <f>MAX(0,L53+M53-N53)</f>
        <v/>
      </c>
      <c r="P53" s="152">
        <f>S52</f>
        <v/>
      </c>
      <c r="Q53" s="159">
        <f>IF(P53&gt;0.005,P53*Debts!D11/12,0)</f>
        <v/>
      </c>
      <c r="R53" s="159" t="n">
        <v>0</v>
      </c>
      <c r="S53" s="152">
        <f>MAX(0,P53+Q53-R53)</f>
        <v/>
      </c>
      <c r="T53" s="152">
        <f>W52</f>
        <v/>
      </c>
      <c r="U53" s="159">
        <f>IF(T53&gt;0.005,T53*Debts!D12/12,0)</f>
        <v/>
      </c>
      <c r="V53" s="159" t="n">
        <v>0</v>
      </c>
      <c r="W53" s="152">
        <f>MAX(0,T53+U53-V53)</f>
        <v/>
      </c>
      <c r="X53" s="152">
        <f>AA52</f>
        <v/>
      </c>
      <c r="Y53" s="159">
        <f>IF(X53&gt;0.005,X53*Debts!D13/12,0)</f>
        <v/>
      </c>
      <c r="Z53" s="159" t="n">
        <v>0</v>
      </c>
      <c r="AA53" s="152">
        <f>MAX(0,X53+Y53-Z53)</f>
        <v/>
      </c>
      <c r="AB53" s="152">
        <f>AE52</f>
        <v/>
      </c>
      <c r="AC53" s="159">
        <f>IF(AB53&gt;0.005,AB53*Debts!D14/12,0)</f>
        <v/>
      </c>
      <c r="AD53" s="159" t="n">
        <v>0</v>
      </c>
      <c r="AE53" s="152">
        <f>MAX(0,AB53+AC53-AD53)</f>
        <v/>
      </c>
      <c r="AF53" s="152">
        <f>AI52</f>
        <v/>
      </c>
      <c r="AG53" s="159">
        <f>IF(AF53&gt;0.005,AF53*Debts!D15/12,0)</f>
        <v/>
      </c>
      <c r="AH53" s="159" t="n">
        <v>0</v>
      </c>
      <c r="AI53" s="152">
        <f>MAX(0,AF53+AG53-AH53)</f>
        <v/>
      </c>
      <c r="AJ53" s="152">
        <f>AM52</f>
        <v/>
      </c>
      <c r="AK53" s="159">
        <f>IF(AJ53&gt;0.005,AJ53*Debts!D16/12,0)</f>
        <v/>
      </c>
      <c r="AL53" s="159" t="n">
        <v>0</v>
      </c>
      <c r="AM53" s="152">
        <f>MAX(0,AJ53+AK53-AL53)</f>
        <v/>
      </c>
      <c r="AN53" s="152">
        <f>AQ52</f>
        <v/>
      </c>
      <c r="AO53" s="159">
        <f>IF(AN53&gt;0.005,AN53*Debts!D17/12,0)</f>
        <v/>
      </c>
      <c r="AP53" s="159" t="n">
        <v>0</v>
      </c>
      <c r="AQ53" s="152">
        <f>MAX(0,AN53+AO53-AP53)</f>
        <v/>
      </c>
      <c r="AR53" s="152">
        <f>AU52</f>
        <v/>
      </c>
      <c r="AS53" s="159">
        <f>IF(AR53&gt;0.005,AR53*Debts!D18/12,0)</f>
        <v/>
      </c>
      <c r="AT53" s="159" t="n">
        <v>0</v>
      </c>
      <c r="AU53" s="152">
        <f>MAX(0,AR53+AS53-AT53)</f>
        <v/>
      </c>
      <c r="AV53" s="152">
        <f>AY52</f>
        <v/>
      </c>
      <c r="AW53" s="159">
        <f>IF(AV53&gt;0.005,AV53*Debts!D19/12,0)</f>
        <v/>
      </c>
      <c r="AX53" s="159" t="n">
        <v>0</v>
      </c>
      <c r="AY53" s="152">
        <f>MAX(0,AV53+AW53-AX53)</f>
        <v/>
      </c>
      <c r="AZ53" s="152">
        <f>BC52</f>
        <v/>
      </c>
      <c r="BA53" s="159">
        <f>IF(AZ53&gt;0.005,AZ53*Debts!D20/12,0)</f>
        <v/>
      </c>
      <c r="BB53" s="159" t="n">
        <v>0</v>
      </c>
      <c r="BC53" s="152">
        <f>MAX(0,AZ53+BA53-BB53)</f>
        <v/>
      </c>
      <c r="BD53" s="152">
        <f>BG52</f>
        <v/>
      </c>
      <c r="BE53" s="159">
        <f>IF(BD53&gt;0.005,BD53*Debts!D21/12,0)</f>
        <v/>
      </c>
      <c r="BF53" s="159" t="n">
        <v>0</v>
      </c>
      <c r="BG53" s="152">
        <f>MAX(0,BD53+BE53-BF53)</f>
        <v/>
      </c>
      <c r="BH53" s="152">
        <f>BK52</f>
        <v/>
      </c>
      <c r="BI53" s="159">
        <f>IF(BH53&gt;0.005,BH53*Debts!D22/12,0)</f>
        <v/>
      </c>
      <c r="BJ53" s="159" t="n">
        <v>0</v>
      </c>
      <c r="BK53" s="152">
        <f>MAX(0,BH53+BI53-BJ53)</f>
        <v/>
      </c>
      <c r="BL53" s="152">
        <f>BO52</f>
        <v/>
      </c>
      <c r="BM53" s="159">
        <f>IF(BL53&gt;0.005,BL53*Debts!D23/12,0)</f>
        <v/>
      </c>
      <c r="BN53" s="159" t="n">
        <v>0</v>
      </c>
      <c r="BO53" s="152">
        <f>MAX(0,BL53+BM53-BN53)</f>
        <v/>
      </c>
      <c r="BP53" s="152">
        <f>BS52</f>
        <v/>
      </c>
      <c r="BQ53" s="159">
        <f>IF(BP53&gt;0.005,BP53*Debts!D24/12,0)</f>
        <v/>
      </c>
      <c r="BR53" s="159" t="n">
        <v>0</v>
      </c>
      <c r="BS53" s="152">
        <f>MAX(0,BP53+BQ53-BR53)</f>
        <v/>
      </c>
      <c r="BT53" s="152">
        <f>BW52</f>
        <v/>
      </c>
      <c r="BU53" s="159">
        <f>IF(BT53&gt;0.005,BT53*Debts!D25/12,0)</f>
        <v/>
      </c>
      <c r="BV53" s="159" t="n">
        <v>0</v>
      </c>
      <c r="BW53" s="152">
        <f>MAX(0,BT53+BU53-BV53)</f>
        <v/>
      </c>
      <c r="BX53" s="152">
        <f>CA52</f>
        <v/>
      </c>
      <c r="BY53" s="159">
        <f>IF(BX53&gt;0.005,BX53*Debts!D26/12,0)</f>
        <v/>
      </c>
      <c r="BZ53" s="159" t="n">
        <v>0</v>
      </c>
      <c r="CA53" s="152">
        <f>MAX(0,BX53+BY53-BZ53)</f>
        <v/>
      </c>
      <c r="CB53" s="152">
        <f>CE52</f>
        <v/>
      </c>
      <c r="CC53" s="159">
        <f>IF(CB53&gt;0.005,CB53*Debts!D27/12,0)</f>
        <v/>
      </c>
      <c r="CD53" s="159" t="n">
        <v>0</v>
      </c>
      <c r="CE53" s="152">
        <f>MAX(0,CB53+CC53-CD53)</f>
        <v/>
      </c>
      <c r="CF53" s="152">
        <f>G53+K53+O53+S53+W53+AA53+AE53+AI53+AM53+AQ53+AU53+AY53+BC53+BG53+BK53+BO53+BS53+BW53+CA53+CE53</f>
        <v/>
      </c>
      <c r="CG53" s="159">
        <f>E53+I53+M53+Q53+U53+Y53+AC53+AG53+AK53+AO53+AS53+AW53+BA53+BE53+BI53+BM53+BQ53+BU53+BY53+CC53</f>
        <v/>
      </c>
      <c r="CH53" s="152">
        <f>CH52+CG53</f>
        <v/>
      </c>
      <c r="CI53" s="148" t="n"/>
      <c r="CJ53" s="148" t="n"/>
    </row>
    <row r="54" ht="15" customHeight="1" s="83">
      <c r="A54" s="148" t="n"/>
      <c r="B54" s="158" t="n">
        <v>50</v>
      </c>
      <c r="C54" s="152">
        <f>F54+J54+N54+R54+V54+Z54+AD54+AH54+AL54+AP54+AT54+AX54+BB54+BF54+BJ54+BN54+BR54+BV54+BZ54+CD54</f>
        <v/>
      </c>
      <c r="D54" s="152">
        <f>G53</f>
        <v/>
      </c>
      <c r="E54" s="159">
        <f>IF(D54&gt;0.005,D54*Debts!D8/12,0)</f>
        <v/>
      </c>
      <c r="F54" s="159" t="n">
        <v>0</v>
      </c>
      <c r="G54" s="152">
        <f>MAX(0,D54+E54-F54)</f>
        <v/>
      </c>
      <c r="H54" s="152">
        <f>K53</f>
        <v/>
      </c>
      <c r="I54" s="159">
        <f>IF(H54&gt;0.005,H54*Debts!D9/12,0)</f>
        <v/>
      </c>
      <c r="J54" s="159" t="n">
        <v>0</v>
      </c>
      <c r="K54" s="152">
        <f>MAX(0,H54+I54-J54)</f>
        <v/>
      </c>
      <c r="L54" s="152">
        <f>O53</f>
        <v/>
      </c>
      <c r="M54" s="159">
        <f>IF(L54&gt;0.005,L54*Debts!D10/12,0)</f>
        <v/>
      </c>
      <c r="N54" s="159" t="n">
        <v>0</v>
      </c>
      <c r="O54" s="152">
        <f>MAX(0,L54+M54-N54)</f>
        <v/>
      </c>
      <c r="P54" s="152">
        <f>S53</f>
        <v/>
      </c>
      <c r="Q54" s="159">
        <f>IF(P54&gt;0.005,P54*Debts!D11/12,0)</f>
        <v/>
      </c>
      <c r="R54" s="159" t="n">
        <v>0</v>
      </c>
      <c r="S54" s="152">
        <f>MAX(0,P54+Q54-R54)</f>
        <v/>
      </c>
      <c r="T54" s="152">
        <f>W53</f>
        <v/>
      </c>
      <c r="U54" s="159">
        <f>IF(T54&gt;0.005,T54*Debts!D12/12,0)</f>
        <v/>
      </c>
      <c r="V54" s="159" t="n">
        <v>0</v>
      </c>
      <c r="W54" s="152">
        <f>MAX(0,T54+U54-V54)</f>
        <v/>
      </c>
      <c r="X54" s="152">
        <f>AA53</f>
        <v/>
      </c>
      <c r="Y54" s="159">
        <f>IF(X54&gt;0.005,X54*Debts!D13/12,0)</f>
        <v/>
      </c>
      <c r="Z54" s="159" t="n">
        <v>0</v>
      </c>
      <c r="AA54" s="152">
        <f>MAX(0,X54+Y54-Z54)</f>
        <v/>
      </c>
      <c r="AB54" s="152">
        <f>AE53</f>
        <v/>
      </c>
      <c r="AC54" s="159">
        <f>IF(AB54&gt;0.005,AB54*Debts!D14/12,0)</f>
        <v/>
      </c>
      <c r="AD54" s="159" t="n">
        <v>0</v>
      </c>
      <c r="AE54" s="152">
        <f>MAX(0,AB54+AC54-AD54)</f>
        <v/>
      </c>
      <c r="AF54" s="152">
        <f>AI53</f>
        <v/>
      </c>
      <c r="AG54" s="159">
        <f>IF(AF54&gt;0.005,AF54*Debts!D15/12,0)</f>
        <v/>
      </c>
      <c r="AH54" s="159" t="n">
        <v>0</v>
      </c>
      <c r="AI54" s="152">
        <f>MAX(0,AF54+AG54-AH54)</f>
        <v/>
      </c>
      <c r="AJ54" s="152">
        <f>AM53</f>
        <v/>
      </c>
      <c r="AK54" s="159">
        <f>IF(AJ54&gt;0.005,AJ54*Debts!D16/12,0)</f>
        <v/>
      </c>
      <c r="AL54" s="159" t="n">
        <v>0</v>
      </c>
      <c r="AM54" s="152">
        <f>MAX(0,AJ54+AK54-AL54)</f>
        <v/>
      </c>
      <c r="AN54" s="152">
        <f>AQ53</f>
        <v/>
      </c>
      <c r="AO54" s="159">
        <f>IF(AN54&gt;0.005,AN54*Debts!D17/12,0)</f>
        <v/>
      </c>
      <c r="AP54" s="159" t="n">
        <v>0</v>
      </c>
      <c r="AQ54" s="152">
        <f>MAX(0,AN54+AO54-AP54)</f>
        <v/>
      </c>
      <c r="AR54" s="152">
        <f>AU53</f>
        <v/>
      </c>
      <c r="AS54" s="159">
        <f>IF(AR54&gt;0.005,AR54*Debts!D18/12,0)</f>
        <v/>
      </c>
      <c r="AT54" s="159" t="n">
        <v>0</v>
      </c>
      <c r="AU54" s="152">
        <f>MAX(0,AR54+AS54-AT54)</f>
        <v/>
      </c>
      <c r="AV54" s="152">
        <f>AY53</f>
        <v/>
      </c>
      <c r="AW54" s="159">
        <f>IF(AV54&gt;0.005,AV54*Debts!D19/12,0)</f>
        <v/>
      </c>
      <c r="AX54" s="159" t="n">
        <v>0</v>
      </c>
      <c r="AY54" s="152">
        <f>MAX(0,AV54+AW54-AX54)</f>
        <v/>
      </c>
      <c r="AZ54" s="152">
        <f>BC53</f>
        <v/>
      </c>
      <c r="BA54" s="159">
        <f>IF(AZ54&gt;0.005,AZ54*Debts!D20/12,0)</f>
        <v/>
      </c>
      <c r="BB54" s="159" t="n">
        <v>0</v>
      </c>
      <c r="BC54" s="152">
        <f>MAX(0,AZ54+BA54-BB54)</f>
        <v/>
      </c>
      <c r="BD54" s="152">
        <f>BG53</f>
        <v/>
      </c>
      <c r="BE54" s="159">
        <f>IF(BD54&gt;0.005,BD54*Debts!D21/12,0)</f>
        <v/>
      </c>
      <c r="BF54" s="159" t="n">
        <v>0</v>
      </c>
      <c r="BG54" s="152">
        <f>MAX(0,BD54+BE54-BF54)</f>
        <v/>
      </c>
      <c r="BH54" s="152">
        <f>BK53</f>
        <v/>
      </c>
      <c r="BI54" s="159">
        <f>IF(BH54&gt;0.005,BH54*Debts!D22/12,0)</f>
        <v/>
      </c>
      <c r="BJ54" s="159" t="n">
        <v>0</v>
      </c>
      <c r="BK54" s="152">
        <f>MAX(0,BH54+BI54-BJ54)</f>
        <v/>
      </c>
      <c r="BL54" s="152">
        <f>BO53</f>
        <v/>
      </c>
      <c r="BM54" s="159">
        <f>IF(BL54&gt;0.005,BL54*Debts!D23/12,0)</f>
        <v/>
      </c>
      <c r="BN54" s="159" t="n">
        <v>0</v>
      </c>
      <c r="BO54" s="152">
        <f>MAX(0,BL54+BM54-BN54)</f>
        <v/>
      </c>
      <c r="BP54" s="152">
        <f>BS53</f>
        <v/>
      </c>
      <c r="BQ54" s="159">
        <f>IF(BP54&gt;0.005,BP54*Debts!D24/12,0)</f>
        <v/>
      </c>
      <c r="BR54" s="159" t="n">
        <v>0</v>
      </c>
      <c r="BS54" s="152">
        <f>MAX(0,BP54+BQ54-BR54)</f>
        <v/>
      </c>
      <c r="BT54" s="152">
        <f>BW53</f>
        <v/>
      </c>
      <c r="BU54" s="159">
        <f>IF(BT54&gt;0.005,BT54*Debts!D25/12,0)</f>
        <v/>
      </c>
      <c r="BV54" s="159" t="n">
        <v>0</v>
      </c>
      <c r="BW54" s="152">
        <f>MAX(0,BT54+BU54-BV54)</f>
        <v/>
      </c>
      <c r="BX54" s="152">
        <f>CA53</f>
        <v/>
      </c>
      <c r="BY54" s="159">
        <f>IF(BX54&gt;0.005,BX54*Debts!D26/12,0)</f>
        <v/>
      </c>
      <c r="BZ54" s="159" t="n">
        <v>0</v>
      </c>
      <c r="CA54" s="152">
        <f>MAX(0,BX54+BY54-BZ54)</f>
        <v/>
      </c>
      <c r="CB54" s="152">
        <f>CE53</f>
        <v/>
      </c>
      <c r="CC54" s="159">
        <f>IF(CB54&gt;0.005,CB54*Debts!D27/12,0)</f>
        <v/>
      </c>
      <c r="CD54" s="159" t="n">
        <v>0</v>
      </c>
      <c r="CE54" s="152">
        <f>MAX(0,CB54+CC54-CD54)</f>
        <v/>
      </c>
      <c r="CF54" s="152">
        <f>G54+K54+O54+S54+W54+AA54+AE54+AI54+AM54+AQ54+AU54+AY54+BC54+BG54+BK54+BO54+BS54+BW54+CA54+CE54</f>
        <v/>
      </c>
      <c r="CG54" s="159">
        <f>E54+I54+M54+Q54+U54+Y54+AC54+AG54+AK54+AO54+AS54+AW54+BA54+BE54+BI54+BM54+BQ54+BU54+BY54+CC54</f>
        <v/>
      </c>
      <c r="CH54" s="152">
        <f>CH53+CG54</f>
        <v/>
      </c>
      <c r="CI54" s="148" t="n"/>
      <c r="CJ54" s="148" t="n"/>
    </row>
    <row r="55" ht="15" customHeight="1" s="83">
      <c r="A55" s="148" t="n"/>
      <c r="B55" s="158" t="n">
        <v>51</v>
      </c>
      <c r="C55" s="152">
        <f>F55+J55+N55+R55+V55+Z55+AD55+AH55+AL55+AP55+AT55+AX55+BB55+BF55+BJ55+BN55+BR55+BV55+BZ55+CD55</f>
        <v/>
      </c>
      <c r="D55" s="152">
        <f>G54</f>
        <v/>
      </c>
      <c r="E55" s="159">
        <f>IF(D55&gt;0.005,D55*Debts!D8/12,0)</f>
        <v/>
      </c>
      <c r="F55" s="159" t="n">
        <v>0</v>
      </c>
      <c r="G55" s="152">
        <f>MAX(0,D55+E55-F55)</f>
        <v/>
      </c>
      <c r="H55" s="152">
        <f>K54</f>
        <v/>
      </c>
      <c r="I55" s="159">
        <f>IF(H55&gt;0.005,H55*Debts!D9/12,0)</f>
        <v/>
      </c>
      <c r="J55" s="159" t="n">
        <v>0</v>
      </c>
      <c r="K55" s="152">
        <f>MAX(0,H55+I55-J55)</f>
        <v/>
      </c>
      <c r="L55" s="152">
        <f>O54</f>
        <v/>
      </c>
      <c r="M55" s="159">
        <f>IF(L55&gt;0.005,L55*Debts!D10/12,0)</f>
        <v/>
      </c>
      <c r="N55" s="159" t="n">
        <v>0</v>
      </c>
      <c r="O55" s="152">
        <f>MAX(0,L55+M55-N55)</f>
        <v/>
      </c>
      <c r="P55" s="152">
        <f>S54</f>
        <v/>
      </c>
      <c r="Q55" s="159">
        <f>IF(P55&gt;0.005,P55*Debts!D11/12,0)</f>
        <v/>
      </c>
      <c r="R55" s="159" t="n">
        <v>0</v>
      </c>
      <c r="S55" s="152">
        <f>MAX(0,P55+Q55-R55)</f>
        <v/>
      </c>
      <c r="T55" s="152">
        <f>W54</f>
        <v/>
      </c>
      <c r="U55" s="159">
        <f>IF(T55&gt;0.005,T55*Debts!D12/12,0)</f>
        <v/>
      </c>
      <c r="V55" s="159" t="n">
        <v>0</v>
      </c>
      <c r="W55" s="152">
        <f>MAX(0,T55+U55-V55)</f>
        <v/>
      </c>
      <c r="X55" s="152">
        <f>AA54</f>
        <v/>
      </c>
      <c r="Y55" s="159">
        <f>IF(X55&gt;0.005,X55*Debts!D13/12,0)</f>
        <v/>
      </c>
      <c r="Z55" s="159" t="n">
        <v>0</v>
      </c>
      <c r="AA55" s="152">
        <f>MAX(0,X55+Y55-Z55)</f>
        <v/>
      </c>
      <c r="AB55" s="152">
        <f>AE54</f>
        <v/>
      </c>
      <c r="AC55" s="159">
        <f>IF(AB55&gt;0.005,AB55*Debts!D14/12,0)</f>
        <v/>
      </c>
      <c r="AD55" s="159" t="n">
        <v>0</v>
      </c>
      <c r="AE55" s="152">
        <f>MAX(0,AB55+AC55-AD55)</f>
        <v/>
      </c>
      <c r="AF55" s="152">
        <f>AI54</f>
        <v/>
      </c>
      <c r="AG55" s="159">
        <f>IF(AF55&gt;0.005,AF55*Debts!D15/12,0)</f>
        <v/>
      </c>
      <c r="AH55" s="159" t="n">
        <v>0</v>
      </c>
      <c r="AI55" s="152">
        <f>MAX(0,AF55+AG55-AH55)</f>
        <v/>
      </c>
      <c r="AJ55" s="152">
        <f>AM54</f>
        <v/>
      </c>
      <c r="AK55" s="159">
        <f>IF(AJ55&gt;0.005,AJ55*Debts!D16/12,0)</f>
        <v/>
      </c>
      <c r="AL55" s="159" t="n">
        <v>0</v>
      </c>
      <c r="AM55" s="152">
        <f>MAX(0,AJ55+AK55-AL55)</f>
        <v/>
      </c>
      <c r="AN55" s="152">
        <f>AQ54</f>
        <v/>
      </c>
      <c r="AO55" s="159">
        <f>IF(AN55&gt;0.005,AN55*Debts!D17/12,0)</f>
        <v/>
      </c>
      <c r="AP55" s="159" t="n">
        <v>0</v>
      </c>
      <c r="AQ55" s="152">
        <f>MAX(0,AN55+AO55-AP55)</f>
        <v/>
      </c>
      <c r="AR55" s="152">
        <f>AU54</f>
        <v/>
      </c>
      <c r="AS55" s="159">
        <f>IF(AR55&gt;0.005,AR55*Debts!D18/12,0)</f>
        <v/>
      </c>
      <c r="AT55" s="159" t="n">
        <v>0</v>
      </c>
      <c r="AU55" s="152">
        <f>MAX(0,AR55+AS55-AT55)</f>
        <v/>
      </c>
      <c r="AV55" s="152">
        <f>AY54</f>
        <v/>
      </c>
      <c r="AW55" s="159">
        <f>IF(AV55&gt;0.005,AV55*Debts!D19/12,0)</f>
        <v/>
      </c>
      <c r="AX55" s="159" t="n">
        <v>0</v>
      </c>
      <c r="AY55" s="152">
        <f>MAX(0,AV55+AW55-AX55)</f>
        <v/>
      </c>
      <c r="AZ55" s="152">
        <f>BC54</f>
        <v/>
      </c>
      <c r="BA55" s="159">
        <f>IF(AZ55&gt;0.005,AZ55*Debts!D20/12,0)</f>
        <v/>
      </c>
      <c r="BB55" s="159" t="n">
        <v>0</v>
      </c>
      <c r="BC55" s="152">
        <f>MAX(0,AZ55+BA55-BB55)</f>
        <v/>
      </c>
      <c r="BD55" s="152">
        <f>BG54</f>
        <v/>
      </c>
      <c r="BE55" s="159">
        <f>IF(BD55&gt;0.005,BD55*Debts!D21/12,0)</f>
        <v/>
      </c>
      <c r="BF55" s="159" t="n">
        <v>0</v>
      </c>
      <c r="BG55" s="152">
        <f>MAX(0,BD55+BE55-BF55)</f>
        <v/>
      </c>
      <c r="BH55" s="152">
        <f>BK54</f>
        <v/>
      </c>
      <c r="BI55" s="159">
        <f>IF(BH55&gt;0.005,BH55*Debts!D22/12,0)</f>
        <v/>
      </c>
      <c r="BJ55" s="159" t="n">
        <v>0</v>
      </c>
      <c r="BK55" s="152">
        <f>MAX(0,BH55+BI55-BJ55)</f>
        <v/>
      </c>
      <c r="BL55" s="152">
        <f>BO54</f>
        <v/>
      </c>
      <c r="BM55" s="159">
        <f>IF(BL55&gt;0.005,BL55*Debts!D23/12,0)</f>
        <v/>
      </c>
      <c r="BN55" s="159" t="n">
        <v>0</v>
      </c>
      <c r="BO55" s="152">
        <f>MAX(0,BL55+BM55-BN55)</f>
        <v/>
      </c>
      <c r="BP55" s="152">
        <f>BS54</f>
        <v/>
      </c>
      <c r="BQ55" s="159">
        <f>IF(BP55&gt;0.005,BP55*Debts!D24/12,0)</f>
        <v/>
      </c>
      <c r="BR55" s="159" t="n">
        <v>0</v>
      </c>
      <c r="BS55" s="152">
        <f>MAX(0,BP55+BQ55-BR55)</f>
        <v/>
      </c>
      <c r="BT55" s="152">
        <f>BW54</f>
        <v/>
      </c>
      <c r="BU55" s="159">
        <f>IF(BT55&gt;0.005,BT55*Debts!D25/12,0)</f>
        <v/>
      </c>
      <c r="BV55" s="159" t="n">
        <v>0</v>
      </c>
      <c r="BW55" s="152">
        <f>MAX(0,BT55+BU55-BV55)</f>
        <v/>
      </c>
      <c r="BX55" s="152">
        <f>CA54</f>
        <v/>
      </c>
      <c r="BY55" s="159">
        <f>IF(BX55&gt;0.005,BX55*Debts!D26/12,0)</f>
        <v/>
      </c>
      <c r="BZ55" s="159" t="n">
        <v>0</v>
      </c>
      <c r="CA55" s="152">
        <f>MAX(0,BX55+BY55-BZ55)</f>
        <v/>
      </c>
      <c r="CB55" s="152">
        <f>CE54</f>
        <v/>
      </c>
      <c r="CC55" s="159">
        <f>IF(CB55&gt;0.005,CB55*Debts!D27/12,0)</f>
        <v/>
      </c>
      <c r="CD55" s="159" t="n">
        <v>0</v>
      </c>
      <c r="CE55" s="152">
        <f>MAX(0,CB55+CC55-CD55)</f>
        <v/>
      </c>
      <c r="CF55" s="152">
        <f>G55+K55+O55+S55+W55+AA55+AE55+AI55+AM55+AQ55+AU55+AY55+BC55+BG55+BK55+BO55+BS55+BW55+CA55+CE55</f>
        <v/>
      </c>
      <c r="CG55" s="159">
        <f>E55+I55+M55+Q55+U55+Y55+AC55+AG55+AK55+AO55+AS55+AW55+BA55+BE55+BI55+BM55+BQ55+BU55+BY55+CC55</f>
        <v/>
      </c>
      <c r="CH55" s="152">
        <f>CH54+CG55</f>
        <v/>
      </c>
      <c r="CI55" s="148" t="n"/>
      <c r="CJ55" s="148" t="n"/>
    </row>
    <row r="56" ht="15" customHeight="1" s="83">
      <c r="A56" s="148" t="n"/>
      <c r="B56" s="158" t="n">
        <v>52</v>
      </c>
      <c r="C56" s="152">
        <f>F56+J56+N56+R56+V56+Z56+AD56+AH56+AL56+AP56+AT56+AX56+BB56+BF56+BJ56+BN56+BR56+BV56+BZ56+CD56</f>
        <v/>
      </c>
      <c r="D56" s="152">
        <f>G55</f>
        <v/>
      </c>
      <c r="E56" s="159">
        <f>IF(D56&gt;0.005,D56*Debts!D8/12,0)</f>
        <v/>
      </c>
      <c r="F56" s="159" t="n">
        <v>0</v>
      </c>
      <c r="G56" s="152">
        <f>MAX(0,D56+E56-F56)</f>
        <v/>
      </c>
      <c r="H56" s="152">
        <f>K55</f>
        <v/>
      </c>
      <c r="I56" s="159">
        <f>IF(H56&gt;0.005,H56*Debts!D9/12,0)</f>
        <v/>
      </c>
      <c r="J56" s="159" t="n">
        <v>0</v>
      </c>
      <c r="K56" s="152">
        <f>MAX(0,H56+I56-J56)</f>
        <v/>
      </c>
      <c r="L56" s="152">
        <f>O55</f>
        <v/>
      </c>
      <c r="M56" s="159">
        <f>IF(L56&gt;0.005,L56*Debts!D10/12,0)</f>
        <v/>
      </c>
      <c r="N56" s="159" t="n">
        <v>0</v>
      </c>
      <c r="O56" s="152">
        <f>MAX(0,L56+M56-N56)</f>
        <v/>
      </c>
      <c r="P56" s="152">
        <f>S55</f>
        <v/>
      </c>
      <c r="Q56" s="159">
        <f>IF(P56&gt;0.005,P56*Debts!D11/12,0)</f>
        <v/>
      </c>
      <c r="R56" s="159" t="n">
        <v>0</v>
      </c>
      <c r="S56" s="152">
        <f>MAX(0,P56+Q56-R56)</f>
        <v/>
      </c>
      <c r="T56" s="152">
        <f>W55</f>
        <v/>
      </c>
      <c r="U56" s="159">
        <f>IF(T56&gt;0.005,T56*Debts!D12/12,0)</f>
        <v/>
      </c>
      <c r="V56" s="159" t="n">
        <v>0</v>
      </c>
      <c r="W56" s="152">
        <f>MAX(0,T56+U56-V56)</f>
        <v/>
      </c>
      <c r="X56" s="152">
        <f>AA55</f>
        <v/>
      </c>
      <c r="Y56" s="159">
        <f>IF(X56&gt;0.005,X56*Debts!D13/12,0)</f>
        <v/>
      </c>
      <c r="Z56" s="159" t="n">
        <v>0</v>
      </c>
      <c r="AA56" s="152">
        <f>MAX(0,X56+Y56-Z56)</f>
        <v/>
      </c>
      <c r="AB56" s="152">
        <f>AE55</f>
        <v/>
      </c>
      <c r="AC56" s="159">
        <f>IF(AB56&gt;0.005,AB56*Debts!D14/12,0)</f>
        <v/>
      </c>
      <c r="AD56" s="159" t="n">
        <v>0</v>
      </c>
      <c r="AE56" s="152">
        <f>MAX(0,AB56+AC56-AD56)</f>
        <v/>
      </c>
      <c r="AF56" s="152">
        <f>AI55</f>
        <v/>
      </c>
      <c r="AG56" s="159">
        <f>IF(AF56&gt;0.005,AF56*Debts!D15/12,0)</f>
        <v/>
      </c>
      <c r="AH56" s="159" t="n">
        <v>0</v>
      </c>
      <c r="AI56" s="152">
        <f>MAX(0,AF56+AG56-AH56)</f>
        <v/>
      </c>
      <c r="AJ56" s="152">
        <f>AM55</f>
        <v/>
      </c>
      <c r="AK56" s="159">
        <f>IF(AJ56&gt;0.005,AJ56*Debts!D16/12,0)</f>
        <v/>
      </c>
      <c r="AL56" s="159" t="n">
        <v>0</v>
      </c>
      <c r="AM56" s="152">
        <f>MAX(0,AJ56+AK56-AL56)</f>
        <v/>
      </c>
      <c r="AN56" s="152">
        <f>AQ55</f>
        <v/>
      </c>
      <c r="AO56" s="159">
        <f>IF(AN56&gt;0.005,AN56*Debts!D17/12,0)</f>
        <v/>
      </c>
      <c r="AP56" s="159" t="n">
        <v>0</v>
      </c>
      <c r="AQ56" s="152">
        <f>MAX(0,AN56+AO56-AP56)</f>
        <v/>
      </c>
      <c r="AR56" s="152">
        <f>AU55</f>
        <v/>
      </c>
      <c r="AS56" s="159">
        <f>IF(AR56&gt;0.005,AR56*Debts!D18/12,0)</f>
        <v/>
      </c>
      <c r="AT56" s="159" t="n">
        <v>0</v>
      </c>
      <c r="AU56" s="152">
        <f>MAX(0,AR56+AS56-AT56)</f>
        <v/>
      </c>
      <c r="AV56" s="152">
        <f>AY55</f>
        <v/>
      </c>
      <c r="AW56" s="159">
        <f>IF(AV56&gt;0.005,AV56*Debts!D19/12,0)</f>
        <v/>
      </c>
      <c r="AX56" s="159" t="n">
        <v>0</v>
      </c>
      <c r="AY56" s="152">
        <f>MAX(0,AV56+AW56-AX56)</f>
        <v/>
      </c>
      <c r="AZ56" s="152">
        <f>BC55</f>
        <v/>
      </c>
      <c r="BA56" s="159">
        <f>IF(AZ56&gt;0.005,AZ56*Debts!D20/12,0)</f>
        <v/>
      </c>
      <c r="BB56" s="159" t="n">
        <v>0</v>
      </c>
      <c r="BC56" s="152">
        <f>MAX(0,AZ56+BA56-BB56)</f>
        <v/>
      </c>
      <c r="BD56" s="152">
        <f>BG55</f>
        <v/>
      </c>
      <c r="BE56" s="159">
        <f>IF(BD56&gt;0.005,BD56*Debts!D21/12,0)</f>
        <v/>
      </c>
      <c r="BF56" s="159" t="n">
        <v>0</v>
      </c>
      <c r="BG56" s="152">
        <f>MAX(0,BD56+BE56-BF56)</f>
        <v/>
      </c>
      <c r="BH56" s="152">
        <f>BK55</f>
        <v/>
      </c>
      <c r="BI56" s="159">
        <f>IF(BH56&gt;0.005,BH56*Debts!D22/12,0)</f>
        <v/>
      </c>
      <c r="BJ56" s="159" t="n">
        <v>0</v>
      </c>
      <c r="BK56" s="152">
        <f>MAX(0,BH56+BI56-BJ56)</f>
        <v/>
      </c>
      <c r="BL56" s="152">
        <f>BO55</f>
        <v/>
      </c>
      <c r="BM56" s="159">
        <f>IF(BL56&gt;0.005,BL56*Debts!D23/12,0)</f>
        <v/>
      </c>
      <c r="BN56" s="159" t="n">
        <v>0</v>
      </c>
      <c r="BO56" s="152">
        <f>MAX(0,BL56+BM56-BN56)</f>
        <v/>
      </c>
      <c r="BP56" s="152">
        <f>BS55</f>
        <v/>
      </c>
      <c r="BQ56" s="159">
        <f>IF(BP56&gt;0.005,BP56*Debts!D24/12,0)</f>
        <v/>
      </c>
      <c r="BR56" s="159" t="n">
        <v>0</v>
      </c>
      <c r="BS56" s="152">
        <f>MAX(0,BP56+BQ56-BR56)</f>
        <v/>
      </c>
      <c r="BT56" s="152">
        <f>BW55</f>
        <v/>
      </c>
      <c r="BU56" s="159">
        <f>IF(BT56&gt;0.005,BT56*Debts!D25/12,0)</f>
        <v/>
      </c>
      <c r="BV56" s="159" t="n">
        <v>0</v>
      </c>
      <c r="BW56" s="152">
        <f>MAX(0,BT56+BU56-BV56)</f>
        <v/>
      </c>
      <c r="BX56" s="152">
        <f>CA55</f>
        <v/>
      </c>
      <c r="BY56" s="159">
        <f>IF(BX56&gt;0.005,BX56*Debts!D26/12,0)</f>
        <v/>
      </c>
      <c r="BZ56" s="159" t="n">
        <v>0</v>
      </c>
      <c r="CA56" s="152">
        <f>MAX(0,BX56+BY56-BZ56)</f>
        <v/>
      </c>
      <c r="CB56" s="152">
        <f>CE55</f>
        <v/>
      </c>
      <c r="CC56" s="159">
        <f>IF(CB56&gt;0.005,CB56*Debts!D27/12,0)</f>
        <v/>
      </c>
      <c r="CD56" s="159" t="n">
        <v>0</v>
      </c>
      <c r="CE56" s="152">
        <f>MAX(0,CB56+CC56-CD56)</f>
        <v/>
      </c>
      <c r="CF56" s="152">
        <f>G56+K56+O56+S56+W56+AA56+AE56+AI56+AM56+AQ56+AU56+AY56+BC56+BG56+BK56+BO56+BS56+BW56+CA56+CE56</f>
        <v/>
      </c>
      <c r="CG56" s="159">
        <f>E56+I56+M56+Q56+U56+Y56+AC56+AG56+AK56+AO56+AS56+AW56+BA56+BE56+BI56+BM56+BQ56+BU56+BY56+CC56</f>
        <v/>
      </c>
      <c r="CH56" s="152">
        <f>CH55+CG56</f>
        <v/>
      </c>
      <c r="CI56" s="148" t="n"/>
      <c r="CJ56" s="148" t="n"/>
    </row>
    <row r="57" ht="15" customHeight="1" s="83">
      <c r="A57" s="148" t="n"/>
      <c r="B57" s="158" t="n">
        <v>53</v>
      </c>
      <c r="C57" s="152">
        <f>F57+J57+N57+R57+V57+Z57+AD57+AH57+AL57+AP57+AT57+AX57+BB57+BF57+BJ57+BN57+BR57+BV57+BZ57+CD57</f>
        <v/>
      </c>
      <c r="D57" s="152">
        <f>G56</f>
        <v/>
      </c>
      <c r="E57" s="159">
        <f>IF(D57&gt;0.005,D57*Debts!D8/12,0)</f>
        <v/>
      </c>
      <c r="F57" s="159" t="n">
        <v>0</v>
      </c>
      <c r="G57" s="152">
        <f>MAX(0,D57+E57-F57)</f>
        <v/>
      </c>
      <c r="H57" s="152">
        <f>K56</f>
        <v/>
      </c>
      <c r="I57" s="159">
        <f>IF(H57&gt;0.005,H57*Debts!D9/12,0)</f>
        <v/>
      </c>
      <c r="J57" s="159" t="n">
        <v>0</v>
      </c>
      <c r="K57" s="152">
        <f>MAX(0,H57+I57-J57)</f>
        <v/>
      </c>
      <c r="L57" s="152">
        <f>O56</f>
        <v/>
      </c>
      <c r="M57" s="159">
        <f>IF(L57&gt;0.005,L57*Debts!D10/12,0)</f>
        <v/>
      </c>
      <c r="N57" s="159" t="n">
        <v>0</v>
      </c>
      <c r="O57" s="152">
        <f>MAX(0,L57+M57-N57)</f>
        <v/>
      </c>
      <c r="P57" s="152">
        <f>S56</f>
        <v/>
      </c>
      <c r="Q57" s="159">
        <f>IF(P57&gt;0.005,P57*Debts!D11/12,0)</f>
        <v/>
      </c>
      <c r="R57" s="159" t="n">
        <v>0</v>
      </c>
      <c r="S57" s="152">
        <f>MAX(0,P57+Q57-R57)</f>
        <v/>
      </c>
      <c r="T57" s="152">
        <f>W56</f>
        <v/>
      </c>
      <c r="U57" s="159">
        <f>IF(T57&gt;0.005,T57*Debts!D12/12,0)</f>
        <v/>
      </c>
      <c r="V57" s="159" t="n">
        <v>0</v>
      </c>
      <c r="W57" s="152">
        <f>MAX(0,T57+U57-V57)</f>
        <v/>
      </c>
      <c r="X57" s="152">
        <f>AA56</f>
        <v/>
      </c>
      <c r="Y57" s="159">
        <f>IF(X57&gt;0.005,X57*Debts!D13/12,0)</f>
        <v/>
      </c>
      <c r="Z57" s="159" t="n">
        <v>0</v>
      </c>
      <c r="AA57" s="152">
        <f>MAX(0,X57+Y57-Z57)</f>
        <v/>
      </c>
      <c r="AB57" s="152">
        <f>AE56</f>
        <v/>
      </c>
      <c r="AC57" s="159">
        <f>IF(AB57&gt;0.005,AB57*Debts!D14/12,0)</f>
        <v/>
      </c>
      <c r="AD57" s="159" t="n">
        <v>0</v>
      </c>
      <c r="AE57" s="152">
        <f>MAX(0,AB57+AC57-AD57)</f>
        <v/>
      </c>
      <c r="AF57" s="152">
        <f>AI56</f>
        <v/>
      </c>
      <c r="AG57" s="159">
        <f>IF(AF57&gt;0.005,AF57*Debts!D15/12,0)</f>
        <v/>
      </c>
      <c r="AH57" s="159" t="n">
        <v>0</v>
      </c>
      <c r="AI57" s="152">
        <f>MAX(0,AF57+AG57-AH57)</f>
        <v/>
      </c>
      <c r="AJ57" s="152">
        <f>AM56</f>
        <v/>
      </c>
      <c r="AK57" s="159">
        <f>IF(AJ57&gt;0.005,AJ57*Debts!D16/12,0)</f>
        <v/>
      </c>
      <c r="AL57" s="159" t="n">
        <v>0</v>
      </c>
      <c r="AM57" s="152">
        <f>MAX(0,AJ57+AK57-AL57)</f>
        <v/>
      </c>
      <c r="AN57" s="152">
        <f>AQ56</f>
        <v/>
      </c>
      <c r="AO57" s="159">
        <f>IF(AN57&gt;0.005,AN57*Debts!D17/12,0)</f>
        <v/>
      </c>
      <c r="AP57" s="159" t="n">
        <v>0</v>
      </c>
      <c r="AQ57" s="152">
        <f>MAX(0,AN57+AO57-AP57)</f>
        <v/>
      </c>
      <c r="AR57" s="152">
        <f>AU56</f>
        <v/>
      </c>
      <c r="AS57" s="159">
        <f>IF(AR57&gt;0.005,AR57*Debts!D18/12,0)</f>
        <v/>
      </c>
      <c r="AT57" s="159" t="n">
        <v>0</v>
      </c>
      <c r="AU57" s="152">
        <f>MAX(0,AR57+AS57-AT57)</f>
        <v/>
      </c>
      <c r="AV57" s="152">
        <f>AY56</f>
        <v/>
      </c>
      <c r="AW57" s="159">
        <f>IF(AV57&gt;0.005,AV57*Debts!D19/12,0)</f>
        <v/>
      </c>
      <c r="AX57" s="159" t="n">
        <v>0</v>
      </c>
      <c r="AY57" s="152">
        <f>MAX(0,AV57+AW57-AX57)</f>
        <v/>
      </c>
      <c r="AZ57" s="152">
        <f>BC56</f>
        <v/>
      </c>
      <c r="BA57" s="159">
        <f>IF(AZ57&gt;0.005,AZ57*Debts!D20/12,0)</f>
        <v/>
      </c>
      <c r="BB57" s="159" t="n">
        <v>0</v>
      </c>
      <c r="BC57" s="152">
        <f>MAX(0,AZ57+BA57-BB57)</f>
        <v/>
      </c>
      <c r="BD57" s="152">
        <f>BG56</f>
        <v/>
      </c>
      <c r="BE57" s="159">
        <f>IF(BD57&gt;0.005,BD57*Debts!D21/12,0)</f>
        <v/>
      </c>
      <c r="BF57" s="159" t="n">
        <v>0</v>
      </c>
      <c r="BG57" s="152">
        <f>MAX(0,BD57+BE57-BF57)</f>
        <v/>
      </c>
      <c r="BH57" s="152">
        <f>BK56</f>
        <v/>
      </c>
      <c r="BI57" s="159">
        <f>IF(BH57&gt;0.005,BH57*Debts!D22/12,0)</f>
        <v/>
      </c>
      <c r="BJ57" s="159" t="n">
        <v>0</v>
      </c>
      <c r="BK57" s="152">
        <f>MAX(0,BH57+BI57-BJ57)</f>
        <v/>
      </c>
      <c r="BL57" s="152">
        <f>BO56</f>
        <v/>
      </c>
      <c r="BM57" s="159">
        <f>IF(BL57&gt;0.005,BL57*Debts!D23/12,0)</f>
        <v/>
      </c>
      <c r="BN57" s="159" t="n">
        <v>0</v>
      </c>
      <c r="BO57" s="152">
        <f>MAX(0,BL57+BM57-BN57)</f>
        <v/>
      </c>
      <c r="BP57" s="152">
        <f>BS56</f>
        <v/>
      </c>
      <c r="BQ57" s="159">
        <f>IF(BP57&gt;0.005,BP57*Debts!D24/12,0)</f>
        <v/>
      </c>
      <c r="BR57" s="159" t="n">
        <v>0</v>
      </c>
      <c r="BS57" s="152">
        <f>MAX(0,BP57+BQ57-BR57)</f>
        <v/>
      </c>
      <c r="BT57" s="152">
        <f>BW56</f>
        <v/>
      </c>
      <c r="BU57" s="159">
        <f>IF(BT57&gt;0.005,BT57*Debts!D25/12,0)</f>
        <v/>
      </c>
      <c r="BV57" s="159" t="n">
        <v>0</v>
      </c>
      <c r="BW57" s="152">
        <f>MAX(0,BT57+BU57-BV57)</f>
        <v/>
      </c>
      <c r="BX57" s="152">
        <f>CA56</f>
        <v/>
      </c>
      <c r="BY57" s="159">
        <f>IF(BX57&gt;0.005,BX57*Debts!D26/12,0)</f>
        <v/>
      </c>
      <c r="BZ57" s="159" t="n">
        <v>0</v>
      </c>
      <c r="CA57" s="152">
        <f>MAX(0,BX57+BY57-BZ57)</f>
        <v/>
      </c>
      <c r="CB57" s="152">
        <f>CE56</f>
        <v/>
      </c>
      <c r="CC57" s="159">
        <f>IF(CB57&gt;0.005,CB57*Debts!D27/12,0)</f>
        <v/>
      </c>
      <c r="CD57" s="159" t="n">
        <v>0</v>
      </c>
      <c r="CE57" s="152">
        <f>MAX(0,CB57+CC57-CD57)</f>
        <v/>
      </c>
      <c r="CF57" s="152">
        <f>G57+K57+O57+S57+W57+AA57+AE57+AI57+AM57+AQ57+AU57+AY57+BC57+BG57+BK57+BO57+BS57+BW57+CA57+CE57</f>
        <v/>
      </c>
      <c r="CG57" s="159">
        <f>E57+I57+M57+Q57+U57+Y57+AC57+AG57+AK57+AO57+AS57+AW57+BA57+BE57+BI57+BM57+BQ57+BU57+BY57+CC57</f>
        <v/>
      </c>
      <c r="CH57" s="152">
        <f>CH56+CG57</f>
        <v/>
      </c>
      <c r="CI57" s="148" t="n"/>
      <c r="CJ57" s="148" t="n"/>
    </row>
    <row r="58" ht="15" customHeight="1" s="83">
      <c r="A58" s="148" t="n"/>
      <c r="B58" s="158" t="n">
        <v>54</v>
      </c>
      <c r="C58" s="152">
        <f>F58+J58+N58+R58+V58+Z58+AD58+AH58+AL58+AP58+AT58+AX58+BB58+BF58+BJ58+BN58+BR58+BV58+BZ58+CD58</f>
        <v/>
      </c>
      <c r="D58" s="152">
        <f>G57</f>
        <v/>
      </c>
      <c r="E58" s="159">
        <f>IF(D58&gt;0.005,D58*Debts!D8/12,0)</f>
        <v/>
      </c>
      <c r="F58" s="159" t="n">
        <v>0</v>
      </c>
      <c r="G58" s="152">
        <f>MAX(0,D58+E58-F58)</f>
        <v/>
      </c>
      <c r="H58" s="152">
        <f>K57</f>
        <v/>
      </c>
      <c r="I58" s="159">
        <f>IF(H58&gt;0.005,H58*Debts!D9/12,0)</f>
        <v/>
      </c>
      <c r="J58" s="159" t="n">
        <v>0</v>
      </c>
      <c r="K58" s="152">
        <f>MAX(0,H58+I58-J58)</f>
        <v/>
      </c>
      <c r="L58" s="152">
        <f>O57</f>
        <v/>
      </c>
      <c r="M58" s="159">
        <f>IF(L58&gt;0.005,L58*Debts!D10/12,0)</f>
        <v/>
      </c>
      <c r="N58" s="159" t="n">
        <v>0</v>
      </c>
      <c r="O58" s="152">
        <f>MAX(0,L58+M58-N58)</f>
        <v/>
      </c>
      <c r="P58" s="152">
        <f>S57</f>
        <v/>
      </c>
      <c r="Q58" s="159">
        <f>IF(P58&gt;0.005,P58*Debts!D11/12,0)</f>
        <v/>
      </c>
      <c r="R58" s="159" t="n">
        <v>0</v>
      </c>
      <c r="S58" s="152">
        <f>MAX(0,P58+Q58-R58)</f>
        <v/>
      </c>
      <c r="T58" s="152">
        <f>W57</f>
        <v/>
      </c>
      <c r="U58" s="159">
        <f>IF(T58&gt;0.005,T58*Debts!D12/12,0)</f>
        <v/>
      </c>
      <c r="V58" s="159" t="n">
        <v>0</v>
      </c>
      <c r="W58" s="152">
        <f>MAX(0,T58+U58-V58)</f>
        <v/>
      </c>
      <c r="X58" s="152">
        <f>AA57</f>
        <v/>
      </c>
      <c r="Y58" s="159">
        <f>IF(X58&gt;0.005,X58*Debts!D13/12,0)</f>
        <v/>
      </c>
      <c r="Z58" s="159" t="n">
        <v>0</v>
      </c>
      <c r="AA58" s="152">
        <f>MAX(0,X58+Y58-Z58)</f>
        <v/>
      </c>
      <c r="AB58" s="152">
        <f>AE57</f>
        <v/>
      </c>
      <c r="AC58" s="159">
        <f>IF(AB58&gt;0.005,AB58*Debts!D14/12,0)</f>
        <v/>
      </c>
      <c r="AD58" s="159" t="n">
        <v>0</v>
      </c>
      <c r="AE58" s="152">
        <f>MAX(0,AB58+AC58-AD58)</f>
        <v/>
      </c>
      <c r="AF58" s="152">
        <f>AI57</f>
        <v/>
      </c>
      <c r="AG58" s="159">
        <f>IF(AF58&gt;0.005,AF58*Debts!D15/12,0)</f>
        <v/>
      </c>
      <c r="AH58" s="159" t="n">
        <v>0</v>
      </c>
      <c r="AI58" s="152">
        <f>MAX(0,AF58+AG58-AH58)</f>
        <v/>
      </c>
      <c r="AJ58" s="152">
        <f>AM57</f>
        <v/>
      </c>
      <c r="AK58" s="159">
        <f>IF(AJ58&gt;0.005,AJ58*Debts!D16/12,0)</f>
        <v/>
      </c>
      <c r="AL58" s="159" t="n">
        <v>0</v>
      </c>
      <c r="AM58" s="152">
        <f>MAX(0,AJ58+AK58-AL58)</f>
        <v/>
      </c>
      <c r="AN58" s="152">
        <f>AQ57</f>
        <v/>
      </c>
      <c r="AO58" s="159">
        <f>IF(AN58&gt;0.005,AN58*Debts!D17/12,0)</f>
        <v/>
      </c>
      <c r="AP58" s="159" t="n">
        <v>0</v>
      </c>
      <c r="AQ58" s="152">
        <f>MAX(0,AN58+AO58-AP58)</f>
        <v/>
      </c>
      <c r="AR58" s="152">
        <f>AU57</f>
        <v/>
      </c>
      <c r="AS58" s="159">
        <f>IF(AR58&gt;0.005,AR58*Debts!D18/12,0)</f>
        <v/>
      </c>
      <c r="AT58" s="159" t="n">
        <v>0</v>
      </c>
      <c r="AU58" s="152">
        <f>MAX(0,AR58+AS58-AT58)</f>
        <v/>
      </c>
      <c r="AV58" s="152">
        <f>AY57</f>
        <v/>
      </c>
      <c r="AW58" s="159">
        <f>IF(AV58&gt;0.005,AV58*Debts!D19/12,0)</f>
        <v/>
      </c>
      <c r="AX58" s="159" t="n">
        <v>0</v>
      </c>
      <c r="AY58" s="152">
        <f>MAX(0,AV58+AW58-AX58)</f>
        <v/>
      </c>
      <c r="AZ58" s="152">
        <f>BC57</f>
        <v/>
      </c>
      <c r="BA58" s="159">
        <f>IF(AZ58&gt;0.005,AZ58*Debts!D20/12,0)</f>
        <v/>
      </c>
      <c r="BB58" s="159" t="n">
        <v>0</v>
      </c>
      <c r="BC58" s="152">
        <f>MAX(0,AZ58+BA58-BB58)</f>
        <v/>
      </c>
      <c r="BD58" s="152">
        <f>BG57</f>
        <v/>
      </c>
      <c r="BE58" s="159">
        <f>IF(BD58&gt;0.005,BD58*Debts!D21/12,0)</f>
        <v/>
      </c>
      <c r="BF58" s="159" t="n">
        <v>0</v>
      </c>
      <c r="BG58" s="152">
        <f>MAX(0,BD58+BE58-BF58)</f>
        <v/>
      </c>
      <c r="BH58" s="152">
        <f>BK57</f>
        <v/>
      </c>
      <c r="BI58" s="159">
        <f>IF(BH58&gt;0.005,BH58*Debts!D22/12,0)</f>
        <v/>
      </c>
      <c r="BJ58" s="159" t="n">
        <v>0</v>
      </c>
      <c r="BK58" s="152">
        <f>MAX(0,BH58+BI58-BJ58)</f>
        <v/>
      </c>
      <c r="BL58" s="152">
        <f>BO57</f>
        <v/>
      </c>
      <c r="BM58" s="159">
        <f>IF(BL58&gt;0.005,BL58*Debts!D23/12,0)</f>
        <v/>
      </c>
      <c r="BN58" s="159" t="n">
        <v>0</v>
      </c>
      <c r="BO58" s="152">
        <f>MAX(0,BL58+BM58-BN58)</f>
        <v/>
      </c>
      <c r="BP58" s="152">
        <f>BS57</f>
        <v/>
      </c>
      <c r="BQ58" s="159">
        <f>IF(BP58&gt;0.005,BP58*Debts!D24/12,0)</f>
        <v/>
      </c>
      <c r="BR58" s="159" t="n">
        <v>0</v>
      </c>
      <c r="BS58" s="152">
        <f>MAX(0,BP58+BQ58-BR58)</f>
        <v/>
      </c>
      <c r="BT58" s="152">
        <f>BW57</f>
        <v/>
      </c>
      <c r="BU58" s="159">
        <f>IF(BT58&gt;0.005,BT58*Debts!D25/12,0)</f>
        <v/>
      </c>
      <c r="BV58" s="159" t="n">
        <v>0</v>
      </c>
      <c r="BW58" s="152">
        <f>MAX(0,BT58+BU58-BV58)</f>
        <v/>
      </c>
      <c r="BX58" s="152">
        <f>CA57</f>
        <v/>
      </c>
      <c r="BY58" s="159">
        <f>IF(BX58&gt;0.005,BX58*Debts!D26/12,0)</f>
        <v/>
      </c>
      <c r="BZ58" s="159" t="n">
        <v>0</v>
      </c>
      <c r="CA58" s="152">
        <f>MAX(0,BX58+BY58-BZ58)</f>
        <v/>
      </c>
      <c r="CB58" s="152">
        <f>CE57</f>
        <v/>
      </c>
      <c r="CC58" s="159">
        <f>IF(CB58&gt;0.005,CB58*Debts!D27/12,0)</f>
        <v/>
      </c>
      <c r="CD58" s="159" t="n">
        <v>0</v>
      </c>
      <c r="CE58" s="152">
        <f>MAX(0,CB58+CC58-CD58)</f>
        <v/>
      </c>
      <c r="CF58" s="152">
        <f>G58+K58+O58+S58+W58+AA58+AE58+AI58+AM58+AQ58+AU58+AY58+BC58+BG58+BK58+BO58+BS58+BW58+CA58+CE58</f>
        <v/>
      </c>
      <c r="CG58" s="159">
        <f>E58+I58+M58+Q58+U58+Y58+AC58+AG58+AK58+AO58+AS58+AW58+BA58+BE58+BI58+BM58+BQ58+BU58+BY58+CC58</f>
        <v/>
      </c>
      <c r="CH58" s="152">
        <f>CH57+CG58</f>
        <v/>
      </c>
      <c r="CI58" s="148" t="n"/>
      <c r="CJ58" s="148" t="n"/>
    </row>
    <row r="59" ht="15" customHeight="1" s="83">
      <c r="A59" s="148" t="n"/>
      <c r="B59" s="158" t="n">
        <v>55</v>
      </c>
      <c r="C59" s="152">
        <f>F59+J59+N59+R59+V59+Z59+AD59+AH59+AL59+AP59+AT59+AX59+BB59+BF59+BJ59+BN59+BR59+BV59+BZ59+CD59</f>
        <v/>
      </c>
      <c r="D59" s="152">
        <f>G58</f>
        <v/>
      </c>
      <c r="E59" s="159">
        <f>IF(D59&gt;0.005,D59*Debts!D8/12,0)</f>
        <v/>
      </c>
      <c r="F59" s="159" t="n">
        <v>0</v>
      </c>
      <c r="G59" s="152">
        <f>MAX(0,D59+E59-F59)</f>
        <v/>
      </c>
      <c r="H59" s="152">
        <f>K58</f>
        <v/>
      </c>
      <c r="I59" s="159">
        <f>IF(H59&gt;0.005,H59*Debts!D9/12,0)</f>
        <v/>
      </c>
      <c r="J59" s="159" t="n">
        <v>0</v>
      </c>
      <c r="K59" s="152">
        <f>MAX(0,H59+I59-J59)</f>
        <v/>
      </c>
      <c r="L59" s="152">
        <f>O58</f>
        <v/>
      </c>
      <c r="M59" s="159">
        <f>IF(L59&gt;0.005,L59*Debts!D10/12,0)</f>
        <v/>
      </c>
      <c r="N59" s="159" t="n">
        <v>0</v>
      </c>
      <c r="O59" s="152">
        <f>MAX(0,L59+M59-N59)</f>
        <v/>
      </c>
      <c r="P59" s="152">
        <f>S58</f>
        <v/>
      </c>
      <c r="Q59" s="159">
        <f>IF(P59&gt;0.005,P59*Debts!D11/12,0)</f>
        <v/>
      </c>
      <c r="R59" s="159" t="n">
        <v>0</v>
      </c>
      <c r="S59" s="152">
        <f>MAX(0,P59+Q59-R59)</f>
        <v/>
      </c>
      <c r="T59" s="152">
        <f>W58</f>
        <v/>
      </c>
      <c r="U59" s="159">
        <f>IF(T59&gt;0.005,T59*Debts!D12/12,0)</f>
        <v/>
      </c>
      <c r="V59" s="159" t="n">
        <v>0</v>
      </c>
      <c r="W59" s="152">
        <f>MAX(0,T59+U59-V59)</f>
        <v/>
      </c>
      <c r="X59" s="152">
        <f>AA58</f>
        <v/>
      </c>
      <c r="Y59" s="159">
        <f>IF(X59&gt;0.005,X59*Debts!D13/12,0)</f>
        <v/>
      </c>
      <c r="Z59" s="159" t="n">
        <v>0</v>
      </c>
      <c r="AA59" s="152">
        <f>MAX(0,X59+Y59-Z59)</f>
        <v/>
      </c>
      <c r="AB59" s="152">
        <f>AE58</f>
        <v/>
      </c>
      <c r="AC59" s="159">
        <f>IF(AB59&gt;0.005,AB59*Debts!D14/12,0)</f>
        <v/>
      </c>
      <c r="AD59" s="159" t="n">
        <v>0</v>
      </c>
      <c r="AE59" s="152">
        <f>MAX(0,AB59+AC59-AD59)</f>
        <v/>
      </c>
      <c r="AF59" s="152">
        <f>AI58</f>
        <v/>
      </c>
      <c r="AG59" s="159">
        <f>IF(AF59&gt;0.005,AF59*Debts!D15/12,0)</f>
        <v/>
      </c>
      <c r="AH59" s="159" t="n">
        <v>0</v>
      </c>
      <c r="AI59" s="152">
        <f>MAX(0,AF59+AG59-AH59)</f>
        <v/>
      </c>
      <c r="AJ59" s="152">
        <f>AM58</f>
        <v/>
      </c>
      <c r="AK59" s="159">
        <f>IF(AJ59&gt;0.005,AJ59*Debts!D16/12,0)</f>
        <v/>
      </c>
      <c r="AL59" s="159" t="n">
        <v>0</v>
      </c>
      <c r="AM59" s="152">
        <f>MAX(0,AJ59+AK59-AL59)</f>
        <v/>
      </c>
      <c r="AN59" s="152">
        <f>AQ58</f>
        <v/>
      </c>
      <c r="AO59" s="159">
        <f>IF(AN59&gt;0.005,AN59*Debts!D17/12,0)</f>
        <v/>
      </c>
      <c r="AP59" s="159" t="n">
        <v>0</v>
      </c>
      <c r="AQ59" s="152">
        <f>MAX(0,AN59+AO59-AP59)</f>
        <v/>
      </c>
      <c r="AR59" s="152">
        <f>AU58</f>
        <v/>
      </c>
      <c r="AS59" s="159">
        <f>IF(AR59&gt;0.005,AR59*Debts!D18/12,0)</f>
        <v/>
      </c>
      <c r="AT59" s="159" t="n">
        <v>0</v>
      </c>
      <c r="AU59" s="152">
        <f>MAX(0,AR59+AS59-AT59)</f>
        <v/>
      </c>
      <c r="AV59" s="152">
        <f>AY58</f>
        <v/>
      </c>
      <c r="AW59" s="159">
        <f>IF(AV59&gt;0.005,AV59*Debts!D19/12,0)</f>
        <v/>
      </c>
      <c r="AX59" s="159" t="n">
        <v>0</v>
      </c>
      <c r="AY59" s="152">
        <f>MAX(0,AV59+AW59-AX59)</f>
        <v/>
      </c>
      <c r="AZ59" s="152">
        <f>BC58</f>
        <v/>
      </c>
      <c r="BA59" s="159">
        <f>IF(AZ59&gt;0.005,AZ59*Debts!D20/12,0)</f>
        <v/>
      </c>
      <c r="BB59" s="159" t="n">
        <v>0</v>
      </c>
      <c r="BC59" s="152">
        <f>MAX(0,AZ59+BA59-BB59)</f>
        <v/>
      </c>
      <c r="BD59" s="152">
        <f>BG58</f>
        <v/>
      </c>
      <c r="BE59" s="159">
        <f>IF(BD59&gt;0.005,BD59*Debts!D21/12,0)</f>
        <v/>
      </c>
      <c r="BF59" s="159" t="n">
        <v>0</v>
      </c>
      <c r="BG59" s="152">
        <f>MAX(0,BD59+BE59-BF59)</f>
        <v/>
      </c>
      <c r="BH59" s="152">
        <f>BK58</f>
        <v/>
      </c>
      <c r="BI59" s="159">
        <f>IF(BH59&gt;0.005,BH59*Debts!D22/12,0)</f>
        <v/>
      </c>
      <c r="BJ59" s="159" t="n">
        <v>0</v>
      </c>
      <c r="BK59" s="152">
        <f>MAX(0,BH59+BI59-BJ59)</f>
        <v/>
      </c>
      <c r="BL59" s="152">
        <f>BO58</f>
        <v/>
      </c>
      <c r="BM59" s="159">
        <f>IF(BL59&gt;0.005,BL59*Debts!D23/12,0)</f>
        <v/>
      </c>
      <c r="BN59" s="159" t="n">
        <v>0</v>
      </c>
      <c r="BO59" s="152">
        <f>MAX(0,BL59+BM59-BN59)</f>
        <v/>
      </c>
      <c r="BP59" s="152">
        <f>BS58</f>
        <v/>
      </c>
      <c r="BQ59" s="159">
        <f>IF(BP59&gt;0.005,BP59*Debts!D24/12,0)</f>
        <v/>
      </c>
      <c r="BR59" s="159" t="n">
        <v>0</v>
      </c>
      <c r="BS59" s="152">
        <f>MAX(0,BP59+BQ59-BR59)</f>
        <v/>
      </c>
      <c r="BT59" s="152">
        <f>BW58</f>
        <v/>
      </c>
      <c r="BU59" s="159">
        <f>IF(BT59&gt;0.005,BT59*Debts!D25/12,0)</f>
        <v/>
      </c>
      <c r="BV59" s="159" t="n">
        <v>0</v>
      </c>
      <c r="BW59" s="152">
        <f>MAX(0,BT59+BU59-BV59)</f>
        <v/>
      </c>
      <c r="BX59" s="152">
        <f>CA58</f>
        <v/>
      </c>
      <c r="BY59" s="159">
        <f>IF(BX59&gt;0.005,BX59*Debts!D26/12,0)</f>
        <v/>
      </c>
      <c r="BZ59" s="159" t="n">
        <v>0</v>
      </c>
      <c r="CA59" s="152">
        <f>MAX(0,BX59+BY59-BZ59)</f>
        <v/>
      </c>
      <c r="CB59" s="152">
        <f>CE58</f>
        <v/>
      </c>
      <c r="CC59" s="159">
        <f>IF(CB59&gt;0.005,CB59*Debts!D27/12,0)</f>
        <v/>
      </c>
      <c r="CD59" s="159" t="n">
        <v>0</v>
      </c>
      <c r="CE59" s="152">
        <f>MAX(0,CB59+CC59-CD59)</f>
        <v/>
      </c>
      <c r="CF59" s="152">
        <f>G59+K59+O59+S59+W59+AA59+AE59+AI59+AM59+AQ59+AU59+AY59+BC59+BG59+BK59+BO59+BS59+BW59+CA59+CE59</f>
        <v/>
      </c>
      <c r="CG59" s="159">
        <f>E59+I59+M59+Q59+U59+Y59+AC59+AG59+AK59+AO59+AS59+AW59+BA59+BE59+BI59+BM59+BQ59+BU59+BY59+CC59</f>
        <v/>
      </c>
      <c r="CH59" s="152">
        <f>CH58+CG59</f>
        <v/>
      </c>
      <c r="CI59" s="148" t="n"/>
      <c r="CJ59" s="148" t="n"/>
    </row>
    <row r="60" ht="15" customHeight="1" s="83">
      <c r="A60" s="148" t="n"/>
      <c r="B60" s="158" t="n">
        <v>56</v>
      </c>
      <c r="C60" s="152">
        <f>F60+J60+N60+R60+V60+Z60+AD60+AH60+AL60+AP60+AT60+AX60+BB60+BF60+BJ60+BN60+BR60+BV60+BZ60+CD60</f>
        <v/>
      </c>
      <c r="D60" s="152">
        <f>G59</f>
        <v/>
      </c>
      <c r="E60" s="159">
        <f>IF(D60&gt;0.005,D60*Debts!D8/12,0)</f>
        <v/>
      </c>
      <c r="F60" s="159" t="n">
        <v>0</v>
      </c>
      <c r="G60" s="152">
        <f>MAX(0,D60+E60-F60)</f>
        <v/>
      </c>
      <c r="H60" s="152">
        <f>K59</f>
        <v/>
      </c>
      <c r="I60" s="159">
        <f>IF(H60&gt;0.005,H60*Debts!D9/12,0)</f>
        <v/>
      </c>
      <c r="J60" s="159" t="n">
        <v>0</v>
      </c>
      <c r="K60" s="152">
        <f>MAX(0,H60+I60-J60)</f>
        <v/>
      </c>
      <c r="L60" s="152">
        <f>O59</f>
        <v/>
      </c>
      <c r="M60" s="159">
        <f>IF(L60&gt;0.005,L60*Debts!D10/12,0)</f>
        <v/>
      </c>
      <c r="N60" s="159" t="n">
        <v>0</v>
      </c>
      <c r="O60" s="152">
        <f>MAX(0,L60+M60-N60)</f>
        <v/>
      </c>
      <c r="P60" s="152">
        <f>S59</f>
        <v/>
      </c>
      <c r="Q60" s="159">
        <f>IF(P60&gt;0.005,P60*Debts!D11/12,0)</f>
        <v/>
      </c>
      <c r="R60" s="159" t="n">
        <v>0</v>
      </c>
      <c r="S60" s="152">
        <f>MAX(0,P60+Q60-R60)</f>
        <v/>
      </c>
      <c r="T60" s="152">
        <f>W59</f>
        <v/>
      </c>
      <c r="U60" s="159">
        <f>IF(T60&gt;0.005,T60*Debts!D12/12,0)</f>
        <v/>
      </c>
      <c r="V60" s="159" t="n">
        <v>0</v>
      </c>
      <c r="W60" s="152">
        <f>MAX(0,T60+U60-V60)</f>
        <v/>
      </c>
      <c r="X60" s="152">
        <f>AA59</f>
        <v/>
      </c>
      <c r="Y60" s="159">
        <f>IF(X60&gt;0.005,X60*Debts!D13/12,0)</f>
        <v/>
      </c>
      <c r="Z60" s="159" t="n">
        <v>0</v>
      </c>
      <c r="AA60" s="152">
        <f>MAX(0,X60+Y60-Z60)</f>
        <v/>
      </c>
      <c r="AB60" s="152">
        <f>AE59</f>
        <v/>
      </c>
      <c r="AC60" s="159">
        <f>IF(AB60&gt;0.005,AB60*Debts!D14/12,0)</f>
        <v/>
      </c>
      <c r="AD60" s="159" t="n">
        <v>0</v>
      </c>
      <c r="AE60" s="152">
        <f>MAX(0,AB60+AC60-AD60)</f>
        <v/>
      </c>
      <c r="AF60" s="152">
        <f>AI59</f>
        <v/>
      </c>
      <c r="AG60" s="159">
        <f>IF(AF60&gt;0.005,AF60*Debts!D15/12,0)</f>
        <v/>
      </c>
      <c r="AH60" s="159" t="n">
        <v>0</v>
      </c>
      <c r="AI60" s="152">
        <f>MAX(0,AF60+AG60-AH60)</f>
        <v/>
      </c>
      <c r="AJ60" s="152">
        <f>AM59</f>
        <v/>
      </c>
      <c r="AK60" s="159">
        <f>IF(AJ60&gt;0.005,AJ60*Debts!D16/12,0)</f>
        <v/>
      </c>
      <c r="AL60" s="159" t="n">
        <v>0</v>
      </c>
      <c r="AM60" s="152">
        <f>MAX(0,AJ60+AK60-AL60)</f>
        <v/>
      </c>
      <c r="AN60" s="152">
        <f>AQ59</f>
        <v/>
      </c>
      <c r="AO60" s="159">
        <f>IF(AN60&gt;0.005,AN60*Debts!D17/12,0)</f>
        <v/>
      </c>
      <c r="AP60" s="159" t="n">
        <v>0</v>
      </c>
      <c r="AQ60" s="152">
        <f>MAX(0,AN60+AO60-AP60)</f>
        <v/>
      </c>
      <c r="AR60" s="152">
        <f>AU59</f>
        <v/>
      </c>
      <c r="AS60" s="159">
        <f>IF(AR60&gt;0.005,AR60*Debts!D18/12,0)</f>
        <v/>
      </c>
      <c r="AT60" s="159" t="n">
        <v>0</v>
      </c>
      <c r="AU60" s="152">
        <f>MAX(0,AR60+AS60-AT60)</f>
        <v/>
      </c>
      <c r="AV60" s="152">
        <f>AY59</f>
        <v/>
      </c>
      <c r="AW60" s="159">
        <f>IF(AV60&gt;0.005,AV60*Debts!D19/12,0)</f>
        <v/>
      </c>
      <c r="AX60" s="159" t="n">
        <v>0</v>
      </c>
      <c r="AY60" s="152">
        <f>MAX(0,AV60+AW60-AX60)</f>
        <v/>
      </c>
      <c r="AZ60" s="152">
        <f>BC59</f>
        <v/>
      </c>
      <c r="BA60" s="159">
        <f>IF(AZ60&gt;0.005,AZ60*Debts!D20/12,0)</f>
        <v/>
      </c>
      <c r="BB60" s="159" t="n">
        <v>0</v>
      </c>
      <c r="BC60" s="152">
        <f>MAX(0,AZ60+BA60-BB60)</f>
        <v/>
      </c>
      <c r="BD60" s="152">
        <f>BG59</f>
        <v/>
      </c>
      <c r="BE60" s="159">
        <f>IF(BD60&gt;0.005,BD60*Debts!D21/12,0)</f>
        <v/>
      </c>
      <c r="BF60" s="159" t="n">
        <v>0</v>
      </c>
      <c r="BG60" s="152">
        <f>MAX(0,BD60+BE60-BF60)</f>
        <v/>
      </c>
      <c r="BH60" s="152">
        <f>BK59</f>
        <v/>
      </c>
      <c r="BI60" s="159">
        <f>IF(BH60&gt;0.005,BH60*Debts!D22/12,0)</f>
        <v/>
      </c>
      <c r="BJ60" s="159" t="n">
        <v>0</v>
      </c>
      <c r="BK60" s="152">
        <f>MAX(0,BH60+BI60-BJ60)</f>
        <v/>
      </c>
      <c r="BL60" s="152">
        <f>BO59</f>
        <v/>
      </c>
      <c r="BM60" s="159">
        <f>IF(BL60&gt;0.005,BL60*Debts!D23/12,0)</f>
        <v/>
      </c>
      <c r="BN60" s="159" t="n">
        <v>0</v>
      </c>
      <c r="BO60" s="152">
        <f>MAX(0,BL60+BM60-BN60)</f>
        <v/>
      </c>
      <c r="BP60" s="152">
        <f>BS59</f>
        <v/>
      </c>
      <c r="BQ60" s="159">
        <f>IF(BP60&gt;0.005,BP60*Debts!D24/12,0)</f>
        <v/>
      </c>
      <c r="BR60" s="159" t="n">
        <v>0</v>
      </c>
      <c r="BS60" s="152">
        <f>MAX(0,BP60+BQ60-BR60)</f>
        <v/>
      </c>
      <c r="BT60" s="152">
        <f>BW59</f>
        <v/>
      </c>
      <c r="BU60" s="159">
        <f>IF(BT60&gt;0.005,BT60*Debts!D25/12,0)</f>
        <v/>
      </c>
      <c r="BV60" s="159" t="n">
        <v>0</v>
      </c>
      <c r="BW60" s="152">
        <f>MAX(0,BT60+BU60-BV60)</f>
        <v/>
      </c>
      <c r="BX60" s="152">
        <f>CA59</f>
        <v/>
      </c>
      <c r="BY60" s="159">
        <f>IF(BX60&gt;0.005,BX60*Debts!D26/12,0)</f>
        <v/>
      </c>
      <c r="BZ60" s="159" t="n">
        <v>0</v>
      </c>
      <c r="CA60" s="152">
        <f>MAX(0,BX60+BY60-BZ60)</f>
        <v/>
      </c>
      <c r="CB60" s="152">
        <f>CE59</f>
        <v/>
      </c>
      <c r="CC60" s="159">
        <f>IF(CB60&gt;0.005,CB60*Debts!D27/12,0)</f>
        <v/>
      </c>
      <c r="CD60" s="159" t="n">
        <v>0</v>
      </c>
      <c r="CE60" s="152">
        <f>MAX(0,CB60+CC60-CD60)</f>
        <v/>
      </c>
      <c r="CF60" s="152">
        <f>G60+K60+O60+S60+W60+AA60+AE60+AI60+AM60+AQ60+AU60+AY60+BC60+BG60+BK60+BO60+BS60+BW60+CA60+CE60</f>
        <v/>
      </c>
      <c r="CG60" s="159">
        <f>E60+I60+M60+Q60+U60+Y60+AC60+AG60+AK60+AO60+AS60+AW60+BA60+BE60+BI60+BM60+BQ60+BU60+BY60+CC60</f>
        <v/>
      </c>
      <c r="CH60" s="152">
        <f>CH59+CG60</f>
        <v/>
      </c>
      <c r="CI60" s="148" t="n"/>
      <c r="CJ60" s="148" t="n"/>
    </row>
    <row r="61" ht="15" customHeight="1" s="83">
      <c r="A61" s="148" t="n"/>
      <c r="B61" s="158" t="n">
        <v>57</v>
      </c>
      <c r="C61" s="152">
        <f>F61+J61+N61+R61+V61+Z61+AD61+AH61+AL61+AP61+AT61+AX61+BB61+BF61+BJ61+BN61+BR61+BV61+BZ61+CD61</f>
        <v/>
      </c>
      <c r="D61" s="152">
        <f>G60</f>
        <v/>
      </c>
      <c r="E61" s="159">
        <f>IF(D61&gt;0.005,D61*Debts!D8/12,0)</f>
        <v/>
      </c>
      <c r="F61" s="159" t="n">
        <v>0</v>
      </c>
      <c r="G61" s="152">
        <f>MAX(0,D61+E61-F61)</f>
        <v/>
      </c>
      <c r="H61" s="152">
        <f>K60</f>
        <v/>
      </c>
      <c r="I61" s="159">
        <f>IF(H61&gt;0.005,H61*Debts!D9/12,0)</f>
        <v/>
      </c>
      <c r="J61" s="159" t="n">
        <v>0</v>
      </c>
      <c r="K61" s="152">
        <f>MAX(0,H61+I61-J61)</f>
        <v/>
      </c>
      <c r="L61" s="152">
        <f>O60</f>
        <v/>
      </c>
      <c r="M61" s="159">
        <f>IF(L61&gt;0.005,L61*Debts!D10/12,0)</f>
        <v/>
      </c>
      <c r="N61" s="159" t="n">
        <v>0</v>
      </c>
      <c r="O61" s="152">
        <f>MAX(0,L61+M61-N61)</f>
        <v/>
      </c>
      <c r="P61" s="152">
        <f>S60</f>
        <v/>
      </c>
      <c r="Q61" s="159">
        <f>IF(P61&gt;0.005,P61*Debts!D11/12,0)</f>
        <v/>
      </c>
      <c r="R61" s="159" t="n">
        <v>0</v>
      </c>
      <c r="S61" s="152">
        <f>MAX(0,P61+Q61-R61)</f>
        <v/>
      </c>
      <c r="T61" s="152">
        <f>W60</f>
        <v/>
      </c>
      <c r="U61" s="159">
        <f>IF(T61&gt;0.005,T61*Debts!D12/12,0)</f>
        <v/>
      </c>
      <c r="V61" s="159" t="n">
        <v>0</v>
      </c>
      <c r="W61" s="152">
        <f>MAX(0,T61+U61-V61)</f>
        <v/>
      </c>
      <c r="X61" s="152">
        <f>AA60</f>
        <v/>
      </c>
      <c r="Y61" s="159">
        <f>IF(X61&gt;0.005,X61*Debts!D13/12,0)</f>
        <v/>
      </c>
      <c r="Z61" s="159" t="n">
        <v>0</v>
      </c>
      <c r="AA61" s="152">
        <f>MAX(0,X61+Y61-Z61)</f>
        <v/>
      </c>
      <c r="AB61" s="152">
        <f>AE60</f>
        <v/>
      </c>
      <c r="AC61" s="159">
        <f>IF(AB61&gt;0.005,AB61*Debts!D14/12,0)</f>
        <v/>
      </c>
      <c r="AD61" s="159" t="n">
        <v>0</v>
      </c>
      <c r="AE61" s="152">
        <f>MAX(0,AB61+AC61-AD61)</f>
        <v/>
      </c>
      <c r="AF61" s="152">
        <f>AI60</f>
        <v/>
      </c>
      <c r="AG61" s="159">
        <f>IF(AF61&gt;0.005,AF61*Debts!D15/12,0)</f>
        <v/>
      </c>
      <c r="AH61" s="159" t="n">
        <v>0</v>
      </c>
      <c r="AI61" s="152">
        <f>MAX(0,AF61+AG61-AH61)</f>
        <v/>
      </c>
      <c r="AJ61" s="152">
        <f>AM60</f>
        <v/>
      </c>
      <c r="AK61" s="159">
        <f>IF(AJ61&gt;0.005,AJ61*Debts!D16/12,0)</f>
        <v/>
      </c>
      <c r="AL61" s="159" t="n">
        <v>0</v>
      </c>
      <c r="AM61" s="152">
        <f>MAX(0,AJ61+AK61-AL61)</f>
        <v/>
      </c>
      <c r="AN61" s="152">
        <f>AQ60</f>
        <v/>
      </c>
      <c r="AO61" s="159">
        <f>IF(AN61&gt;0.005,AN61*Debts!D17/12,0)</f>
        <v/>
      </c>
      <c r="AP61" s="159" t="n">
        <v>0</v>
      </c>
      <c r="AQ61" s="152">
        <f>MAX(0,AN61+AO61-AP61)</f>
        <v/>
      </c>
      <c r="AR61" s="152">
        <f>AU60</f>
        <v/>
      </c>
      <c r="AS61" s="159">
        <f>IF(AR61&gt;0.005,AR61*Debts!D18/12,0)</f>
        <v/>
      </c>
      <c r="AT61" s="159" t="n">
        <v>0</v>
      </c>
      <c r="AU61" s="152">
        <f>MAX(0,AR61+AS61-AT61)</f>
        <v/>
      </c>
      <c r="AV61" s="152">
        <f>AY60</f>
        <v/>
      </c>
      <c r="AW61" s="159">
        <f>IF(AV61&gt;0.005,AV61*Debts!D19/12,0)</f>
        <v/>
      </c>
      <c r="AX61" s="159" t="n">
        <v>0</v>
      </c>
      <c r="AY61" s="152">
        <f>MAX(0,AV61+AW61-AX61)</f>
        <v/>
      </c>
      <c r="AZ61" s="152">
        <f>BC60</f>
        <v/>
      </c>
      <c r="BA61" s="159">
        <f>IF(AZ61&gt;0.005,AZ61*Debts!D20/12,0)</f>
        <v/>
      </c>
      <c r="BB61" s="159" t="n">
        <v>0</v>
      </c>
      <c r="BC61" s="152">
        <f>MAX(0,AZ61+BA61-BB61)</f>
        <v/>
      </c>
      <c r="BD61" s="152">
        <f>BG60</f>
        <v/>
      </c>
      <c r="BE61" s="159">
        <f>IF(BD61&gt;0.005,BD61*Debts!D21/12,0)</f>
        <v/>
      </c>
      <c r="BF61" s="159" t="n">
        <v>0</v>
      </c>
      <c r="BG61" s="152">
        <f>MAX(0,BD61+BE61-BF61)</f>
        <v/>
      </c>
      <c r="BH61" s="152">
        <f>BK60</f>
        <v/>
      </c>
      <c r="BI61" s="159">
        <f>IF(BH61&gt;0.005,BH61*Debts!D22/12,0)</f>
        <v/>
      </c>
      <c r="BJ61" s="159" t="n">
        <v>0</v>
      </c>
      <c r="BK61" s="152">
        <f>MAX(0,BH61+BI61-BJ61)</f>
        <v/>
      </c>
      <c r="BL61" s="152">
        <f>BO60</f>
        <v/>
      </c>
      <c r="BM61" s="159">
        <f>IF(BL61&gt;0.005,BL61*Debts!D23/12,0)</f>
        <v/>
      </c>
      <c r="BN61" s="159" t="n">
        <v>0</v>
      </c>
      <c r="BO61" s="152">
        <f>MAX(0,BL61+BM61-BN61)</f>
        <v/>
      </c>
      <c r="BP61" s="152">
        <f>BS60</f>
        <v/>
      </c>
      <c r="BQ61" s="159">
        <f>IF(BP61&gt;0.005,BP61*Debts!D24/12,0)</f>
        <v/>
      </c>
      <c r="BR61" s="159" t="n">
        <v>0</v>
      </c>
      <c r="BS61" s="152">
        <f>MAX(0,BP61+BQ61-BR61)</f>
        <v/>
      </c>
      <c r="BT61" s="152">
        <f>BW60</f>
        <v/>
      </c>
      <c r="BU61" s="159">
        <f>IF(BT61&gt;0.005,BT61*Debts!D25/12,0)</f>
        <v/>
      </c>
      <c r="BV61" s="159" t="n">
        <v>0</v>
      </c>
      <c r="BW61" s="152">
        <f>MAX(0,BT61+BU61-BV61)</f>
        <v/>
      </c>
      <c r="BX61" s="152">
        <f>CA60</f>
        <v/>
      </c>
      <c r="BY61" s="159">
        <f>IF(BX61&gt;0.005,BX61*Debts!D26/12,0)</f>
        <v/>
      </c>
      <c r="BZ61" s="159" t="n">
        <v>0</v>
      </c>
      <c r="CA61" s="152">
        <f>MAX(0,BX61+BY61-BZ61)</f>
        <v/>
      </c>
      <c r="CB61" s="152">
        <f>CE60</f>
        <v/>
      </c>
      <c r="CC61" s="159">
        <f>IF(CB61&gt;0.005,CB61*Debts!D27/12,0)</f>
        <v/>
      </c>
      <c r="CD61" s="159" t="n">
        <v>0</v>
      </c>
      <c r="CE61" s="152">
        <f>MAX(0,CB61+CC61-CD61)</f>
        <v/>
      </c>
      <c r="CF61" s="152">
        <f>G61+K61+O61+S61+W61+AA61+AE61+AI61+AM61+AQ61+AU61+AY61+BC61+BG61+BK61+BO61+BS61+BW61+CA61+CE61</f>
        <v/>
      </c>
      <c r="CG61" s="159">
        <f>E61+I61+M61+Q61+U61+Y61+AC61+AG61+AK61+AO61+AS61+AW61+BA61+BE61+BI61+BM61+BQ61+BU61+BY61+CC61</f>
        <v/>
      </c>
      <c r="CH61" s="152">
        <f>CH60+CG61</f>
        <v/>
      </c>
      <c r="CI61" s="148" t="n"/>
      <c r="CJ61" s="148" t="n"/>
    </row>
    <row r="62" ht="15" customHeight="1" s="83">
      <c r="A62" s="148" t="n"/>
      <c r="B62" s="158" t="n">
        <v>58</v>
      </c>
      <c r="C62" s="152">
        <f>F62+J62+N62+R62+V62+Z62+AD62+AH62+AL62+AP62+AT62+AX62+BB62+BF62+BJ62+BN62+BR62+BV62+BZ62+CD62</f>
        <v/>
      </c>
      <c r="D62" s="152">
        <f>G61</f>
        <v/>
      </c>
      <c r="E62" s="159">
        <f>IF(D62&gt;0.005,D62*Debts!D8/12,0)</f>
        <v/>
      </c>
      <c r="F62" s="159" t="n">
        <v>0</v>
      </c>
      <c r="G62" s="152">
        <f>MAX(0,D62+E62-F62)</f>
        <v/>
      </c>
      <c r="H62" s="152">
        <f>K61</f>
        <v/>
      </c>
      <c r="I62" s="159">
        <f>IF(H62&gt;0.005,H62*Debts!D9/12,0)</f>
        <v/>
      </c>
      <c r="J62" s="159" t="n">
        <v>0</v>
      </c>
      <c r="K62" s="152">
        <f>MAX(0,H62+I62-J62)</f>
        <v/>
      </c>
      <c r="L62" s="152">
        <f>O61</f>
        <v/>
      </c>
      <c r="M62" s="159">
        <f>IF(L62&gt;0.005,L62*Debts!D10/12,0)</f>
        <v/>
      </c>
      <c r="N62" s="159" t="n">
        <v>0</v>
      </c>
      <c r="O62" s="152">
        <f>MAX(0,L62+M62-N62)</f>
        <v/>
      </c>
      <c r="P62" s="152">
        <f>S61</f>
        <v/>
      </c>
      <c r="Q62" s="159">
        <f>IF(P62&gt;0.005,P62*Debts!D11/12,0)</f>
        <v/>
      </c>
      <c r="R62" s="159" t="n">
        <v>0</v>
      </c>
      <c r="S62" s="152">
        <f>MAX(0,P62+Q62-R62)</f>
        <v/>
      </c>
      <c r="T62" s="152">
        <f>W61</f>
        <v/>
      </c>
      <c r="U62" s="159">
        <f>IF(T62&gt;0.005,T62*Debts!D12/12,0)</f>
        <v/>
      </c>
      <c r="V62" s="159" t="n">
        <v>0</v>
      </c>
      <c r="W62" s="152">
        <f>MAX(0,T62+U62-V62)</f>
        <v/>
      </c>
      <c r="X62" s="152">
        <f>AA61</f>
        <v/>
      </c>
      <c r="Y62" s="159">
        <f>IF(X62&gt;0.005,X62*Debts!D13/12,0)</f>
        <v/>
      </c>
      <c r="Z62" s="159" t="n">
        <v>0</v>
      </c>
      <c r="AA62" s="152">
        <f>MAX(0,X62+Y62-Z62)</f>
        <v/>
      </c>
      <c r="AB62" s="152">
        <f>AE61</f>
        <v/>
      </c>
      <c r="AC62" s="159">
        <f>IF(AB62&gt;0.005,AB62*Debts!D14/12,0)</f>
        <v/>
      </c>
      <c r="AD62" s="159" t="n">
        <v>0</v>
      </c>
      <c r="AE62" s="152">
        <f>MAX(0,AB62+AC62-AD62)</f>
        <v/>
      </c>
      <c r="AF62" s="152">
        <f>AI61</f>
        <v/>
      </c>
      <c r="AG62" s="159">
        <f>IF(AF62&gt;0.005,AF62*Debts!D15/12,0)</f>
        <v/>
      </c>
      <c r="AH62" s="159" t="n">
        <v>0</v>
      </c>
      <c r="AI62" s="152">
        <f>MAX(0,AF62+AG62-AH62)</f>
        <v/>
      </c>
      <c r="AJ62" s="152">
        <f>AM61</f>
        <v/>
      </c>
      <c r="AK62" s="159">
        <f>IF(AJ62&gt;0.005,AJ62*Debts!D16/12,0)</f>
        <v/>
      </c>
      <c r="AL62" s="159" t="n">
        <v>0</v>
      </c>
      <c r="AM62" s="152">
        <f>MAX(0,AJ62+AK62-AL62)</f>
        <v/>
      </c>
      <c r="AN62" s="152">
        <f>AQ61</f>
        <v/>
      </c>
      <c r="AO62" s="159">
        <f>IF(AN62&gt;0.005,AN62*Debts!D17/12,0)</f>
        <v/>
      </c>
      <c r="AP62" s="159" t="n">
        <v>0</v>
      </c>
      <c r="AQ62" s="152">
        <f>MAX(0,AN62+AO62-AP62)</f>
        <v/>
      </c>
      <c r="AR62" s="152">
        <f>AU61</f>
        <v/>
      </c>
      <c r="AS62" s="159">
        <f>IF(AR62&gt;0.005,AR62*Debts!D18/12,0)</f>
        <v/>
      </c>
      <c r="AT62" s="159" t="n">
        <v>0</v>
      </c>
      <c r="AU62" s="152">
        <f>MAX(0,AR62+AS62-AT62)</f>
        <v/>
      </c>
      <c r="AV62" s="152">
        <f>AY61</f>
        <v/>
      </c>
      <c r="AW62" s="159">
        <f>IF(AV62&gt;0.005,AV62*Debts!D19/12,0)</f>
        <v/>
      </c>
      <c r="AX62" s="159" t="n">
        <v>0</v>
      </c>
      <c r="AY62" s="152">
        <f>MAX(0,AV62+AW62-AX62)</f>
        <v/>
      </c>
      <c r="AZ62" s="152">
        <f>BC61</f>
        <v/>
      </c>
      <c r="BA62" s="159">
        <f>IF(AZ62&gt;0.005,AZ62*Debts!D20/12,0)</f>
        <v/>
      </c>
      <c r="BB62" s="159" t="n">
        <v>0</v>
      </c>
      <c r="BC62" s="152">
        <f>MAX(0,AZ62+BA62-BB62)</f>
        <v/>
      </c>
      <c r="BD62" s="152">
        <f>BG61</f>
        <v/>
      </c>
      <c r="BE62" s="159">
        <f>IF(BD62&gt;0.005,BD62*Debts!D21/12,0)</f>
        <v/>
      </c>
      <c r="BF62" s="159" t="n">
        <v>0</v>
      </c>
      <c r="BG62" s="152">
        <f>MAX(0,BD62+BE62-BF62)</f>
        <v/>
      </c>
      <c r="BH62" s="152">
        <f>BK61</f>
        <v/>
      </c>
      <c r="BI62" s="159">
        <f>IF(BH62&gt;0.005,BH62*Debts!D22/12,0)</f>
        <v/>
      </c>
      <c r="BJ62" s="159" t="n">
        <v>0</v>
      </c>
      <c r="BK62" s="152">
        <f>MAX(0,BH62+BI62-BJ62)</f>
        <v/>
      </c>
      <c r="BL62" s="152">
        <f>BO61</f>
        <v/>
      </c>
      <c r="BM62" s="159">
        <f>IF(BL62&gt;0.005,BL62*Debts!D23/12,0)</f>
        <v/>
      </c>
      <c r="BN62" s="159" t="n">
        <v>0</v>
      </c>
      <c r="BO62" s="152">
        <f>MAX(0,BL62+BM62-BN62)</f>
        <v/>
      </c>
      <c r="BP62" s="152">
        <f>BS61</f>
        <v/>
      </c>
      <c r="BQ62" s="159">
        <f>IF(BP62&gt;0.005,BP62*Debts!D24/12,0)</f>
        <v/>
      </c>
      <c r="BR62" s="159" t="n">
        <v>0</v>
      </c>
      <c r="BS62" s="152">
        <f>MAX(0,BP62+BQ62-BR62)</f>
        <v/>
      </c>
      <c r="BT62" s="152">
        <f>BW61</f>
        <v/>
      </c>
      <c r="BU62" s="159">
        <f>IF(BT62&gt;0.005,BT62*Debts!D25/12,0)</f>
        <v/>
      </c>
      <c r="BV62" s="159" t="n">
        <v>0</v>
      </c>
      <c r="BW62" s="152">
        <f>MAX(0,BT62+BU62-BV62)</f>
        <v/>
      </c>
      <c r="BX62" s="152">
        <f>CA61</f>
        <v/>
      </c>
      <c r="BY62" s="159">
        <f>IF(BX62&gt;0.005,BX62*Debts!D26/12,0)</f>
        <v/>
      </c>
      <c r="BZ62" s="159" t="n">
        <v>0</v>
      </c>
      <c r="CA62" s="152">
        <f>MAX(0,BX62+BY62-BZ62)</f>
        <v/>
      </c>
      <c r="CB62" s="152">
        <f>CE61</f>
        <v/>
      </c>
      <c r="CC62" s="159">
        <f>IF(CB62&gt;0.005,CB62*Debts!D27/12,0)</f>
        <v/>
      </c>
      <c r="CD62" s="159" t="n">
        <v>0</v>
      </c>
      <c r="CE62" s="152">
        <f>MAX(0,CB62+CC62-CD62)</f>
        <v/>
      </c>
      <c r="CF62" s="152">
        <f>G62+K62+O62+S62+W62+AA62+AE62+AI62+AM62+AQ62+AU62+AY62+BC62+BG62+BK62+BO62+BS62+BW62+CA62+CE62</f>
        <v/>
      </c>
      <c r="CG62" s="159">
        <f>E62+I62+M62+Q62+U62+Y62+AC62+AG62+AK62+AO62+AS62+AW62+BA62+BE62+BI62+BM62+BQ62+BU62+BY62+CC62</f>
        <v/>
      </c>
      <c r="CH62" s="152">
        <f>CH61+CG62</f>
        <v/>
      </c>
      <c r="CI62" s="148" t="n"/>
      <c r="CJ62" s="148" t="n"/>
    </row>
    <row r="63" ht="15" customHeight="1" s="83">
      <c r="A63" s="148" t="n"/>
      <c r="B63" s="158" t="n">
        <v>59</v>
      </c>
      <c r="C63" s="152">
        <f>F63+J63+N63+R63+V63+Z63+AD63+AH63+AL63+AP63+AT63+AX63+BB63+BF63+BJ63+BN63+BR63+BV63+BZ63+CD63</f>
        <v/>
      </c>
      <c r="D63" s="152">
        <f>G62</f>
        <v/>
      </c>
      <c r="E63" s="159">
        <f>IF(D63&gt;0.005,D63*Debts!D8/12,0)</f>
        <v/>
      </c>
      <c r="F63" s="159" t="n">
        <v>0</v>
      </c>
      <c r="G63" s="152">
        <f>MAX(0,D63+E63-F63)</f>
        <v/>
      </c>
      <c r="H63" s="152">
        <f>K62</f>
        <v/>
      </c>
      <c r="I63" s="159">
        <f>IF(H63&gt;0.005,H63*Debts!D9/12,0)</f>
        <v/>
      </c>
      <c r="J63" s="159" t="n">
        <v>0</v>
      </c>
      <c r="K63" s="152">
        <f>MAX(0,H63+I63-J63)</f>
        <v/>
      </c>
      <c r="L63" s="152">
        <f>O62</f>
        <v/>
      </c>
      <c r="M63" s="159">
        <f>IF(L63&gt;0.005,L63*Debts!D10/12,0)</f>
        <v/>
      </c>
      <c r="N63" s="159" t="n">
        <v>0</v>
      </c>
      <c r="O63" s="152">
        <f>MAX(0,L63+M63-N63)</f>
        <v/>
      </c>
      <c r="P63" s="152">
        <f>S62</f>
        <v/>
      </c>
      <c r="Q63" s="159">
        <f>IF(P63&gt;0.005,P63*Debts!D11/12,0)</f>
        <v/>
      </c>
      <c r="R63" s="159" t="n">
        <v>0</v>
      </c>
      <c r="S63" s="152">
        <f>MAX(0,P63+Q63-R63)</f>
        <v/>
      </c>
      <c r="T63" s="152">
        <f>W62</f>
        <v/>
      </c>
      <c r="U63" s="159">
        <f>IF(T63&gt;0.005,T63*Debts!D12/12,0)</f>
        <v/>
      </c>
      <c r="V63" s="159" t="n">
        <v>0</v>
      </c>
      <c r="W63" s="152">
        <f>MAX(0,T63+U63-V63)</f>
        <v/>
      </c>
      <c r="X63" s="152">
        <f>AA62</f>
        <v/>
      </c>
      <c r="Y63" s="159">
        <f>IF(X63&gt;0.005,X63*Debts!D13/12,0)</f>
        <v/>
      </c>
      <c r="Z63" s="159" t="n">
        <v>0</v>
      </c>
      <c r="AA63" s="152">
        <f>MAX(0,X63+Y63-Z63)</f>
        <v/>
      </c>
      <c r="AB63" s="152">
        <f>AE62</f>
        <v/>
      </c>
      <c r="AC63" s="159">
        <f>IF(AB63&gt;0.005,AB63*Debts!D14/12,0)</f>
        <v/>
      </c>
      <c r="AD63" s="159" t="n">
        <v>0</v>
      </c>
      <c r="AE63" s="152">
        <f>MAX(0,AB63+AC63-AD63)</f>
        <v/>
      </c>
      <c r="AF63" s="152">
        <f>AI62</f>
        <v/>
      </c>
      <c r="AG63" s="159">
        <f>IF(AF63&gt;0.005,AF63*Debts!D15/12,0)</f>
        <v/>
      </c>
      <c r="AH63" s="159" t="n">
        <v>0</v>
      </c>
      <c r="AI63" s="152">
        <f>MAX(0,AF63+AG63-AH63)</f>
        <v/>
      </c>
      <c r="AJ63" s="152">
        <f>AM62</f>
        <v/>
      </c>
      <c r="AK63" s="159">
        <f>IF(AJ63&gt;0.005,AJ63*Debts!D16/12,0)</f>
        <v/>
      </c>
      <c r="AL63" s="159" t="n">
        <v>0</v>
      </c>
      <c r="AM63" s="152">
        <f>MAX(0,AJ63+AK63-AL63)</f>
        <v/>
      </c>
      <c r="AN63" s="152">
        <f>AQ62</f>
        <v/>
      </c>
      <c r="AO63" s="159">
        <f>IF(AN63&gt;0.005,AN63*Debts!D17/12,0)</f>
        <v/>
      </c>
      <c r="AP63" s="159" t="n">
        <v>0</v>
      </c>
      <c r="AQ63" s="152">
        <f>MAX(0,AN63+AO63-AP63)</f>
        <v/>
      </c>
      <c r="AR63" s="152">
        <f>AU62</f>
        <v/>
      </c>
      <c r="AS63" s="159">
        <f>IF(AR63&gt;0.005,AR63*Debts!D18/12,0)</f>
        <v/>
      </c>
      <c r="AT63" s="159" t="n">
        <v>0</v>
      </c>
      <c r="AU63" s="152">
        <f>MAX(0,AR63+AS63-AT63)</f>
        <v/>
      </c>
      <c r="AV63" s="152">
        <f>AY62</f>
        <v/>
      </c>
      <c r="AW63" s="159">
        <f>IF(AV63&gt;0.005,AV63*Debts!D19/12,0)</f>
        <v/>
      </c>
      <c r="AX63" s="159" t="n">
        <v>0</v>
      </c>
      <c r="AY63" s="152">
        <f>MAX(0,AV63+AW63-AX63)</f>
        <v/>
      </c>
      <c r="AZ63" s="152">
        <f>BC62</f>
        <v/>
      </c>
      <c r="BA63" s="159">
        <f>IF(AZ63&gt;0.005,AZ63*Debts!D20/12,0)</f>
        <v/>
      </c>
      <c r="BB63" s="159" t="n">
        <v>0</v>
      </c>
      <c r="BC63" s="152">
        <f>MAX(0,AZ63+BA63-BB63)</f>
        <v/>
      </c>
      <c r="BD63" s="152">
        <f>BG62</f>
        <v/>
      </c>
      <c r="BE63" s="159">
        <f>IF(BD63&gt;0.005,BD63*Debts!D21/12,0)</f>
        <v/>
      </c>
      <c r="BF63" s="159" t="n">
        <v>0</v>
      </c>
      <c r="BG63" s="152">
        <f>MAX(0,BD63+BE63-BF63)</f>
        <v/>
      </c>
      <c r="BH63" s="152">
        <f>BK62</f>
        <v/>
      </c>
      <c r="BI63" s="159">
        <f>IF(BH63&gt;0.005,BH63*Debts!D22/12,0)</f>
        <v/>
      </c>
      <c r="BJ63" s="159" t="n">
        <v>0</v>
      </c>
      <c r="BK63" s="152">
        <f>MAX(0,BH63+BI63-BJ63)</f>
        <v/>
      </c>
      <c r="BL63" s="152">
        <f>BO62</f>
        <v/>
      </c>
      <c r="BM63" s="159">
        <f>IF(BL63&gt;0.005,BL63*Debts!D23/12,0)</f>
        <v/>
      </c>
      <c r="BN63" s="159" t="n">
        <v>0</v>
      </c>
      <c r="BO63" s="152">
        <f>MAX(0,BL63+BM63-BN63)</f>
        <v/>
      </c>
      <c r="BP63" s="152">
        <f>BS62</f>
        <v/>
      </c>
      <c r="BQ63" s="159">
        <f>IF(BP63&gt;0.005,BP63*Debts!D24/12,0)</f>
        <v/>
      </c>
      <c r="BR63" s="159" t="n">
        <v>0</v>
      </c>
      <c r="BS63" s="152">
        <f>MAX(0,BP63+BQ63-BR63)</f>
        <v/>
      </c>
      <c r="BT63" s="152">
        <f>BW62</f>
        <v/>
      </c>
      <c r="BU63" s="159">
        <f>IF(BT63&gt;0.005,BT63*Debts!D25/12,0)</f>
        <v/>
      </c>
      <c r="BV63" s="159" t="n">
        <v>0</v>
      </c>
      <c r="BW63" s="152">
        <f>MAX(0,BT63+BU63-BV63)</f>
        <v/>
      </c>
      <c r="BX63" s="152">
        <f>CA62</f>
        <v/>
      </c>
      <c r="BY63" s="159">
        <f>IF(BX63&gt;0.005,BX63*Debts!D26/12,0)</f>
        <v/>
      </c>
      <c r="BZ63" s="159" t="n">
        <v>0</v>
      </c>
      <c r="CA63" s="152">
        <f>MAX(0,BX63+BY63-BZ63)</f>
        <v/>
      </c>
      <c r="CB63" s="152">
        <f>CE62</f>
        <v/>
      </c>
      <c r="CC63" s="159">
        <f>IF(CB63&gt;0.005,CB63*Debts!D27/12,0)</f>
        <v/>
      </c>
      <c r="CD63" s="159" t="n">
        <v>0</v>
      </c>
      <c r="CE63" s="152">
        <f>MAX(0,CB63+CC63-CD63)</f>
        <v/>
      </c>
      <c r="CF63" s="152">
        <f>G63+K63+O63+S63+W63+AA63+AE63+AI63+AM63+AQ63+AU63+AY63+BC63+BG63+BK63+BO63+BS63+BW63+CA63+CE63</f>
        <v/>
      </c>
      <c r="CG63" s="159">
        <f>E63+I63+M63+Q63+U63+Y63+AC63+AG63+AK63+AO63+AS63+AW63+BA63+BE63+BI63+BM63+BQ63+BU63+BY63+CC63</f>
        <v/>
      </c>
      <c r="CH63" s="152">
        <f>CH62+CG63</f>
        <v/>
      </c>
      <c r="CI63" s="148" t="n"/>
      <c r="CJ63" s="148" t="n"/>
    </row>
    <row r="64" ht="15" customHeight="1" s="83">
      <c r="A64" s="148" t="n"/>
      <c r="B64" s="158" t="n">
        <v>60</v>
      </c>
      <c r="C64" s="152">
        <f>F64+J64+N64+R64+V64+Z64+AD64+AH64+AL64+AP64+AT64+AX64+BB64+BF64+BJ64+BN64+BR64+BV64+BZ64+CD64</f>
        <v/>
      </c>
      <c r="D64" s="152">
        <f>G63</f>
        <v/>
      </c>
      <c r="E64" s="159">
        <f>IF(D64&gt;0.005,D64*Debts!D8/12,0)</f>
        <v/>
      </c>
      <c r="F64" s="159" t="n">
        <v>0</v>
      </c>
      <c r="G64" s="152">
        <f>MAX(0,D64+E64-F64)</f>
        <v/>
      </c>
      <c r="H64" s="152">
        <f>K63</f>
        <v/>
      </c>
      <c r="I64" s="159">
        <f>IF(H64&gt;0.005,H64*Debts!D9/12,0)</f>
        <v/>
      </c>
      <c r="J64" s="159" t="n">
        <v>0</v>
      </c>
      <c r="K64" s="152">
        <f>MAX(0,H64+I64-J64)</f>
        <v/>
      </c>
      <c r="L64" s="152">
        <f>O63</f>
        <v/>
      </c>
      <c r="M64" s="159">
        <f>IF(L64&gt;0.005,L64*Debts!D10/12,0)</f>
        <v/>
      </c>
      <c r="N64" s="159" t="n">
        <v>0</v>
      </c>
      <c r="O64" s="152">
        <f>MAX(0,L64+M64-N64)</f>
        <v/>
      </c>
      <c r="P64" s="152">
        <f>S63</f>
        <v/>
      </c>
      <c r="Q64" s="159">
        <f>IF(P64&gt;0.005,P64*Debts!D11/12,0)</f>
        <v/>
      </c>
      <c r="R64" s="159" t="n">
        <v>0</v>
      </c>
      <c r="S64" s="152">
        <f>MAX(0,P64+Q64-R64)</f>
        <v/>
      </c>
      <c r="T64" s="152">
        <f>W63</f>
        <v/>
      </c>
      <c r="U64" s="159">
        <f>IF(T64&gt;0.005,T64*Debts!D12/12,0)</f>
        <v/>
      </c>
      <c r="V64" s="159" t="n">
        <v>0</v>
      </c>
      <c r="W64" s="152">
        <f>MAX(0,T64+U64-V64)</f>
        <v/>
      </c>
      <c r="X64" s="152">
        <f>AA63</f>
        <v/>
      </c>
      <c r="Y64" s="159">
        <f>IF(X64&gt;0.005,X64*Debts!D13/12,0)</f>
        <v/>
      </c>
      <c r="Z64" s="159" t="n">
        <v>0</v>
      </c>
      <c r="AA64" s="152">
        <f>MAX(0,X64+Y64-Z64)</f>
        <v/>
      </c>
      <c r="AB64" s="152">
        <f>AE63</f>
        <v/>
      </c>
      <c r="AC64" s="159">
        <f>IF(AB64&gt;0.005,AB64*Debts!D14/12,0)</f>
        <v/>
      </c>
      <c r="AD64" s="159" t="n">
        <v>0</v>
      </c>
      <c r="AE64" s="152">
        <f>MAX(0,AB64+AC64-AD64)</f>
        <v/>
      </c>
      <c r="AF64" s="152">
        <f>AI63</f>
        <v/>
      </c>
      <c r="AG64" s="159">
        <f>IF(AF64&gt;0.005,AF64*Debts!D15/12,0)</f>
        <v/>
      </c>
      <c r="AH64" s="159" t="n">
        <v>0</v>
      </c>
      <c r="AI64" s="152">
        <f>MAX(0,AF64+AG64-AH64)</f>
        <v/>
      </c>
      <c r="AJ64" s="152">
        <f>AM63</f>
        <v/>
      </c>
      <c r="AK64" s="159">
        <f>IF(AJ64&gt;0.005,AJ64*Debts!D16/12,0)</f>
        <v/>
      </c>
      <c r="AL64" s="159" t="n">
        <v>0</v>
      </c>
      <c r="AM64" s="152">
        <f>MAX(0,AJ64+AK64-AL64)</f>
        <v/>
      </c>
      <c r="AN64" s="152">
        <f>AQ63</f>
        <v/>
      </c>
      <c r="AO64" s="159">
        <f>IF(AN64&gt;0.005,AN64*Debts!D17/12,0)</f>
        <v/>
      </c>
      <c r="AP64" s="159" t="n">
        <v>0</v>
      </c>
      <c r="AQ64" s="152">
        <f>MAX(0,AN64+AO64-AP64)</f>
        <v/>
      </c>
      <c r="AR64" s="152">
        <f>AU63</f>
        <v/>
      </c>
      <c r="AS64" s="159">
        <f>IF(AR64&gt;0.005,AR64*Debts!D18/12,0)</f>
        <v/>
      </c>
      <c r="AT64" s="159" t="n">
        <v>0</v>
      </c>
      <c r="AU64" s="152">
        <f>MAX(0,AR64+AS64-AT64)</f>
        <v/>
      </c>
      <c r="AV64" s="152">
        <f>AY63</f>
        <v/>
      </c>
      <c r="AW64" s="159">
        <f>IF(AV64&gt;0.005,AV64*Debts!D19/12,0)</f>
        <v/>
      </c>
      <c r="AX64" s="159" t="n">
        <v>0</v>
      </c>
      <c r="AY64" s="152">
        <f>MAX(0,AV64+AW64-AX64)</f>
        <v/>
      </c>
      <c r="AZ64" s="152">
        <f>BC63</f>
        <v/>
      </c>
      <c r="BA64" s="159">
        <f>IF(AZ64&gt;0.005,AZ64*Debts!D20/12,0)</f>
        <v/>
      </c>
      <c r="BB64" s="159" t="n">
        <v>0</v>
      </c>
      <c r="BC64" s="152">
        <f>MAX(0,AZ64+BA64-BB64)</f>
        <v/>
      </c>
      <c r="BD64" s="152">
        <f>BG63</f>
        <v/>
      </c>
      <c r="BE64" s="159">
        <f>IF(BD64&gt;0.005,BD64*Debts!D21/12,0)</f>
        <v/>
      </c>
      <c r="BF64" s="159" t="n">
        <v>0</v>
      </c>
      <c r="BG64" s="152">
        <f>MAX(0,BD64+BE64-BF64)</f>
        <v/>
      </c>
      <c r="BH64" s="152">
        <f>BK63</f>
        <v/>
      </c>
      <c r="BI64" s="159">
        <f>IF(BH64&gt;0.005,BH64*Debts!D22/12,0)</f>
        <v/>
      </c>
      <c r="BJ64" s="159" t="n">
        <v>0</v>
      </c>
      <c r="BK64" s="152">
        <f>MAX(0,BH64+BI64-BJ64)</f>
        <v/>
      </c>
      <c r="BL64" s="152">
        <f>BO63</f>
        <v/>
      </c>
      <c r="BM64" s="159">
        <f>IF(BL64&gt;0.005,BL64*Debts!D23/12,0)</f>
        <v/>
      </c>
      <c r="BN64" s="159" t="n">
        <v>0</v>
      </c>
      <c r="BO64" s="152">
        <f>MAX(0,BL64+BM64-BN64)</f>
        <v/>
      </c>
      <c r="BP64" s="152">
        <f>BS63</f>
        <v/>
      </c>
      <c r="BQ64" s="159">
        <f>IF(BP64&gt;0.005,BP64*Debts!D24/12,0)</f>
        <v/>
      </c>
      <c r="BR64" s="159" t="n">
        <v>0</v>
      </c>
      <c r="BS64" s="152">
        <f>MAX(0,BP64+BQ64-BR64)</f>
        <v/>
      </c>
      <c r="BT64" s="152">
        <f>BW63</f>
        <v/>
      </c>
      <c r="BU64" s="159">
        <f>IF(BT64&gt;0.005,BT64*Debts!D25/12,0)</f>
        <v/>
      </c>
      <c r="BV64" s="159" t="n">
        <v>0</v>
      </c>
      <c r="BW64" s="152">
        <f>MAX(0,BT64+BU64-BV64)</f>
        <v/>
      </c>
      <c r="BX64" s="152">
        <f>CA63</f>
        <v/>
      </c>
      <c r="BY64" s="159">
        <f>IF(BX64&gt;0.005,BX64*Debts!D26/12,0)</f>
        <v/>
      </c>
      <c r="BZ64" s="159" t="n">
        <v>0</v>
      </c>
      <c r="CA64" s="152">
        <f>MAX(0,BX64+BY64-BZ64)</f>
        <v/>
      </c>
      <c r="CB64" s="152">
        <f>CE63</f>
        <v/>
      </c>
      <c r="CC64" s="159">
        <f>IF(CB64&gt;0.005,CB64*Debts!D27/12,0)</f>
        <v/>
      </c>
      <c r="CD64" s="159" t="n">
        <v>0</v>
      </c>
      <c r="CE64" s="152">
        <f>MAX(0,CB64+CC64-CD64)</f>
        <v/>
      </c>
      <c r="CF64" s="152">
        <f>G64+K64+O64+S64+W64+AA64+AE64+AI64+AM64+AQ64+AU64+AY64+BC64+BG64+BK64+BO64+BS64+BW64+CA64+CE64</f>
        <v/>
      </c>
      <c r="CG64" s="159">
        <f>E64+I64+M64+Q64+U64+Y64+AC64+AG64+AK64+AO64+AS64+AW64+BA64+BE64+BI64+BM64+BQ64+BU64+BY64+CC64</f>
        <v/>
      </c>
      <c r="CH64" s="152">
        <f>CH63+CG64</f>
        <v/>
      </c>
      <c r="CI64" s="148" t="n"/>
      <c r="CJ64" s="148" t="n"/>
    </row>
    <row r="65" ht="15" customHeight="1" s="83">
      <c r="A65" s="148" t="n"/>
      <c r="B65" s="158" t="n">
        <v>61</v>
      </c>
      <c r="C65" s="152">
        <f>F65+J65+N65+R65+V65+Z65+AD65+AH65+AL65+AP65+AT65+AX65+BB65+BF65+BJ65+BN65+BR65+BV65+BZ65+CD65</f>
        <v/>
      </c>
      <c r="D65" s="152">
        <f>G64</f>
        <v/>
      </c>
      <c r="E65" s="159">
        <f>IF(D65&gt;0.005,D65*Debts!D8/12,0)</f>
        <v/>
      </c>
      <c r="F65" s="159" t="n">
        <v>0</v>
      </c>
      <c r="G65" s="152">
        <f>MAX(0,D65+E65-F65)</f>
        <v/>
      </c>
      <c r="H65" s="152">
        <f>K64</f>
        <v/>
      </c>
      <c r="I65" s="159">
        <f>IF(H65&gt;0.005,H65*Debts!D9/12,0)</f>
        <v/>
      </c>
      <c r="J65" s="159" t="n">
        <v>0</v>
      </c>
      <c r="K65" s="152">
        <f>MAX(0,H65+I65-J65)</f>
        <v/>
      </c>
      <c r="L65" s="152">
        <f>O64</f>
        <v/>
      </c>
      <c r="M65" s="159">
        <f>IF(L65&gt;0.005,L65*Debts!D10/12,0)</f>
        <v/>
      </c>
      <c r="N65" s="159" t="n">
        <v>0</v>
      </c>
      <c r="O65" s="152">
        <f>MAX(0,L65+M65-N65)</f>
        <v/>
      </c>
      <c r="P65" s="152">
        <f>S64</f>
        <v/>
      </c>
      <c r="Q65" s="159">
        <f>IF(P65&gt;0.005,P65*Debts!D11/12,0)</f>
        <v/>
      </c>
      <c r="R65" s="159" t="n">
        <v>0</v>
      </c>
      <c r="S65" s="152">
        <f>MAX(0,P65+Q65-R65)</f>
        <v/>
      </c>
      <c r="T65" s="152">
        <f>W64</f>
        <v/>
      </c>
      <c r="U65" s="159">
        <f>IF(T65&gt;0.005,T65*Debts!D12/12,0)</f>
        <v/>
      </c>
      <c r="V65" s="159" t="n">
        <v>0</v>
      </c>
      <c r="W65" s="152">
        <f>MAX(0,T65+U65-V65)</f>
        <v/>
      </c>
      <c r="X65" s="152">
        <f>AA64</f>
        <v/>
      </c>
      <c r="Y65" s="159">
        <f>IF(X65&gt;0.005,X65*Debts!D13/12,0)</f>
        <v/>
      </c>
      <c r="Z65" s="159" t="n">
        <v>0</v>
      </c>
      <c r="AA65" s="152">
        <f>MAX(0,X65+Y65-Z65)</f>
        <v/>
      </c>
      <c r="AB65" s="152">
        <f>AE64</f>
        <v/>
      </c>
      <c r="AC65" s="159">
        <f>IF(AB65&gt;0.005,AB65*Debts!D14/12,0)</f>
        <v/>
      </c>
      <c r="AD65" s="159" t="n">
        <v>0</v>
      </c>
      <c r="AE65" s="152">
        <f>MAX(0,AB65+AC65-AD65)</f>
        <v/>
      </c>
      <c r="AF65" s="152">
        <f>AI64</f>
        <v/>
      </c>
      <c r="AG65" s="159">
        <f>IF(AF65&gt;0.005,AF65*Debts!D15/12,0)</f>
        <v/>
      </c>
      <c r="AH65" s="159" t="n">
        <v>0</v>
      </c>
      <c r="AI65" s="152">
        <f>MAX(0,AF65+AG65-AH65)</f>
        <v/>
      </c>
      <c r="AJ65" s="152">
        <f>AM64</f>
        <v/>
      </c>
      <c r="AK65" s="159">
        <f>IF(AJ65&gt;0.005,AJ65*Debts!D16/12,0)</f>
        <v/>
      </c>
      <c r="AL65" s="159" t="n">
        <v>0</v>
      </c>
      <c r="AM65" s="152">
        <f>MAX(0,AJ65+AK65-AL65)</f>
        <v/>
      </c>
      <c r="AN65" s="152">
        <f>AQ64</f>
        <v/>
      </c>
      <c r="AO65" s="159">
        <f>IF(AN65&gt;0.005,AN65*Debts!D17/12,0)</f>
        <v/>
      </c>
      <c r="AP65" s="159" t="n">
        <v>0</v>
      </c>
      <c r="AQ65" s="152">
        <f>MAX(0,AN65+AO65-AP65)</f>
        <v/>
      </c>
      <c r="AR65" s="152">
        <f>AU64</f>
        <v/>
      </c>
      <c r="AS65" s="159">
        <f>IF(AR65&gt;0.005,AR65*Debts!D18/12,0)</f>
        <v/>
      </c>
      <c r="AT65" s="159" t="n">
        <v>0</v>
      </c>
      <c r="AU65" s="152">
        <f>MAX(0,AR65+AS65-AT65)</f>
        <v/>
      </c>
      <c r="AV65" s="152">
        <f>AY64</f>
        <v/>
      </c>
      <c r="AW65" s="159">
        <f>IF(AV65&gt;0.005,AV65*Debts!D19/12,0)</f>
        <v/>
      </c>
      <c r="AX65" s="159" t="n">
        <v>0</v>
      </c>
      <c r="AY65" s="152">
        <f>MAX(0,AV65+AW65-AX65)</f>
        <v/>
      </c>
      <c r="AZ65" s="152">
        <f>BC64</f>
        <v/>
      </c>
      <c r="BA65" s="159">
        <f>IF(AZ65&gt;0.005,AZ65*Debts!D20/12,0)</f>
        <v/>
      </c>
      <c r="BB65" s="159" t="n">
        <v>0</v>
      </c>
      <c r="BC65" s="152">
        <f>MAX(0,AZ65+BA65-BB65)</f>
        <v/>
      </c>
      <c r="BD65" s="152">
        <f>BG64</f>
        <v/>
      </c>
      <c r="BE65" s="159">
        <f>IF(BD65&gt;0.005,BD65*Debts!D21/12,0)</f>
        <v/>
      </c>
      <c r="BF65" s="159" t="n">
        <v>0</v>
      </c>
      <c r="BG65" s="152">
        <f>MAX(0,BD65+BE65-BF65)</f>
        <v/>
      </c>
      <c r="BH65" s="152">
        <f>BK64</f>
        <v/>
      </c>
      <c r="BI65" s="159">
        <f>IF(BH65&gt;0.005,BH65*Debts!D22/12,0)</f>
        <v/>
      </c>
      <c r="BJ65" s="159" t="n">
        <v>0</v>
      </c>
      <c r="BK65" s="152">
        <f>MAX(0,BH65+BI65-BJ65)</f>
        <v/>
      </c>
      <c r="BL65" s="152">
        <f>BO64</f>
        <v/>
      </c>
      <c r="BM65" s="159">
        <f>IF(BL65&gt;0.005,BL65*Debts!D23/12,0)</f>
        <v/>
      </c>
      <c r="BN65" s="159" t="n">
        <v>0</v>
      </c>
      <c r="BO65" s="152">
        <f>MAX(0,BL65+BM65-BN65)</f>
        <v/>
      </c>
      <c r="BP65" s="152">
        <f>BS64</f>
        <v/>
      </c>
      <c r="BQ65" s="159">
        <f>IF(BP65&gt;0.005,BP65*Debts!D24/12,0)</f>
        <v/>
      </c>
      <c r="BR65" s="159" t="n">
        <v>0</v>
      </c>
      <c r="BS65" s="152">
        <f>MAX(0,BP65+BQ65-BR65)</f>
        <v/>
      </c>
      <c r="BT65" s="152">
        <f>BW64</f>
        <v/>
      </c>
      <c r="BU65" s="159">
        <f>IF(BT65&gt;0.005,BT65*Debts!D25/12,0)</f>
        <v/>
      </c>
      <c r="BV65" s="159" t="n">
        <v>0</v>
      </c>
      <c r="BW65" s="152">
        <f>MAX(0,BT65+BU65-BV65)</f>
        <v/>
      </c>
      <c r="BX65" s="152">
        <f>CA64</f>
        <v/>
      </c>
      <c r="BY65" s="159">
        <f>IF(BX65&gt;0.005,BX65*Debts!D26/12,0)</f>
        <v/>
      </c>
      <c r="BZ65" s="159" t="n">
        <v>0</v>
      </c>
      <c r="CA65" s="152">
        <f>MAX(0,BX65+BY65-BZ65)</f>
        <v/>
      </c>
      <c r="CB65" s="152">
        <f>CE64</f>
        <v/>
      </c>
      <c r="CC65" s="159">
        <f>IF(CB65&gt;0.005,CB65*Debts!D27/12,0)</f>
        <v/>
      </c>
      <c r="CD65" s="159" t="n">
        <v>0</v>
      </c>
      <c r="CE65" s="152">
        <f>MAX(0,CB65+CC65-CD65)</f>
        <v/>
      </c>
      <c r="CF65" s="152">
        <f>G65+K65+O65+S65+W65+AA65+AE65+AI65+AM65+AQ65+AU65+AY65+BC65+BG65+BK65+BO65+BS65+BW65+CA65+CE65</f>
        <v/>
      </c>
      <c r="CG65" s="159">
        <f>E65+I65+M65+Q65+U65+Y65+AC65+AG65+AK65+AO65+AS65+AW65+BA65+BE65+BI65+BM65+BQ65+BU65+BY65+CC65</f>
        <v/>
      </c>
      <c r="CH65" s="152">
        <f>CH64+CG65</f>
        <v/>
      </c>
      <c r="CI65" s="148" t="n"/>
      <c r="CJ65" s="148" t="n"/>
    </row>
    <row r="66" ht="15" customHeight="1" s="83">
      <c r="A66" s="148" t="n"/>
      <c r="B66" s="158" t="n">
        <v>62</v>
      </c>
      <c r="C66" s="152">
        <f>F66+J66+N66+R66+V66+Z66+AD66+AH66+AL66+AP66+AT66+AX66+BB66+BF66+BJ66+BN66+BR66+BV66+BZ66+CD66</f>
        <v/>
      </c>
      <c r="D66" s="152">
        <f>G65</f>
        <v/>
      </c>
      <c r="E66" s="159">
        <f>IF(D66&gt;0.005,D66*Debts!D8/12,0)</f>
        <v/>
      </c>
      <c r="F66" s="159" t="n">
        <v>0</v>
      </c>
      <c r="G66" s="152">
        <f>MAX(0,D66+E66-F66)</f>
        <v/>
      </c>
      <c r="H66" s="152">
        <f>K65</f>
        <v/>
      </c>
      <c r="I66" s="159">
        <f>IF(H66&gt;0.005,H66*Debts!D9/12,0)</f>
        <v/>
      </c>
      <c r="J66" s="159" t="n">
        <v>0</v>
      </c>
      <c r="K66" s="152">
        <f>MAX(0,H66+I66-J66)</f>
        <v/>
      </c>
      <c r="L66" s="152">
        <f>O65</f>
        <v/>
      </c>
      <c r="M66" s="159">
        <f>IF(L66&gt;0.005,L66*Debts!D10/12,0)</f>
        <v/>
      </c>
      <c r="N66" s="159" t="n">
        <v>0</v>
      </c>
      <c r="O66" s="152">
        <f>MAX(0,L66+M66-N66)</f>
        <v/>
      </c>
      <c r="P66" s="152">
        <f>S65</f>
        <v/>
      </c>
      <c r="Q66" s="159">
        <f>IF(P66&gt;0.005,P66*Debts!D11/12,0)</f>
        <v/>
      </c>
      <c r="R66" s="159" t="n">
        <v>0</v>
      </c>
      <c r="S66" s="152">
        <f>MAX(0,P66+Q66-R66)</f>
        <v/>
      </c>
      <c r="T66" s="152">
        <f>W65</f>
        <v/>
      </c>
      <c r="U66" s="159">
        <f>IF(T66&gt;0.005,T66*Debts!D12/12,0)</f>
        <v/>
      </c>
      <c r="V66" s="159" t="n">
        <v>0</v>
      </c>
      <c r="W66" s="152">
        <f>MAX(0,T66+U66-V66)</f>
        <v/>
      </c>
      <c r="X66" s="152">
        <f>AA65</f>
        <v/>
      </c>
      <c r="Y66" s="159">
        <f>IF(X66&gt;0.005,X66*Debts!D13/12,0)</f>
        <v/>
      </c>
      <c r="Z66" s="159" t="n">
        <v>0</v>
      </c>
      <c r="AA66" s="152">
        <f>MAX(0,X66+Y66-Z66)</f>
        <v/>
      </c>
      <c r="AB66" s="152">
        <f>AE65</f>
        <v/>
      </c>
      <c r="AC66" s="159">
        <f>IF(AB66&gt;0.005,AB66*Debts!D14/12,0)</f>
        <v/>
      </c>
      <c r="AD66" s="159" t="n">
        <v>0</v>
      </c>
      <c r="AE66" s="152">
        <f>MAX(0,AB66+AC66-AD66)</f>
        <v/>
      </c>
      <c r="AF66" s="152">
        <f>AI65</f>
        <v/>
      </c>
      <c r="AG66" s="159">
        <f>IF(AF66&gt;0.005,AF66*Debts!D15/12,0)</f>
        <v/>
      </c>
      <c r="AH66" s="159" t="n">
        <v>0</v>
      </c>
      <c r="AI66" s="152">
        <f>MAX(0,AF66+AG66-AH66)</f>
        <v/>
      </c>
      <c r="AJ66" s="152">
        <f>AM65</f>
        <v/>
      </c>
      <c r="AK66" s="159">
        <f>IF(AJ66&gt;0.005,AJ66*Debts!D16/12,0)</f>
        <v/>
      </c>
      <c r="AL66" s="159" t="n">
        <v>0</v>
      </c>
      <c r="AM66" s="152">
        <f>MAX(0,AJ66+AK66-AL66)</f>
        <v/>
      </c>
      <c r="AN66" s="152">
        <f>AQ65</f>
        <v/>
      </c>
      <c r="AO66" s="159">
        <f>IF(AN66&gt;0.005,AN66*Debts!D17/12,0)</f>
        <v/>
      </c>
      <c r="AP66" s="159" t="n">
        <v>0</v>
      </c>
      <c r="AQ66" s="152">
        <f>MAX(0,AN66+AO66-AP66)</f>
        <v/>
      </c>
      <c r="AR66" s="152">
        <f>AU65</f>
        <v/>
      </c>
      <c r="AS66" s="159">
        <f>IF(AR66&gt;0.005,AR66*Debts!D18/12,0)</f>
        <v/>
      </c>
      <c r="AT66" s="159" t="n">
        <v>0</v>
      </c>
      <c r="AU66" s="152">
        <f>MAX(0,AR66+AS66-AT66)</f>
        <v/>
      </c>
      <c r="AV66" s="152">
        <f>AY65</f>
        <v/>
      </c>
      <c r="AW66" s="159">
        <f>IF(AV66&gt;0.005,AV66*Debts!D19/12,0)</f>
        <v/>
      </c>
      <c r="AX66" s="159" t="n">
        <v>0</v>
      </c>
      <c r="AY66" s="152">
        <f>MAX(0,AV66+AW66-AX66)</f>
        <v/>
      </c>
      <c r="AZ66" s="152">
        <f>BC65</f>
        <v/>
      </c>
      <c r="BA66" s="159">
        <f>IF(AZ66&gt;0.005,AZ66*Debts!D20/12,0)</f>
        <v/>
      </c>
      <c r="BB66" s="159" t="n">
        <v>0</v>
      </c>
      <c r="BC66" s="152">
        <f>MAX(0,AZ66+BA66-BB66)</f>
        <v/>
      </c>
      <c r="BD66" s="152">
        <f>BG65</f>
        <v/>
      </c>
      <c r="BE66" s="159">
        <f>IF(BD66&gt;0.005,BD66*Debts!D21/12,0)</f>
        <v/>
      </c>
      <c r="BF66" s="159" t="n">
        <v>0</v>
      </c>
      <c r="BG66" s="152">
        <f>MAX(0,BD66+BE66-BF66)</f>
        <v/>
      </c>
      <c r="BH66" s="152">
        <f>BK65</f>
        <v/>
      </c>
      <c r="BI66" s="159">
        <f>IF(BH66&gt;0.005,BH66*Debts!D22/12,0)</f>
        <v/>
      </c>
      <c r="BJ66" s="159" t="n">
        <v>0</v>
      </c>
      <c r="BK66" s="152">
        <f>MAX(0,BH66+BI66-BJ66)</f>
        <v/>
      </c>
      <c r="BL66" s="152">
        <f>BO65</f>
        <v/>
      </c>
      <c r="BM66" s="159">
        <f>IF(BL66&gt;0.005,BL66*Debts!D23/12,0)</f>
        <v/>
      </c>
      <c r="BN66" s="159" t="n">
        <v>0</v>
      </c>
      <c r="BO66" s="152">
        <f>MAX(0,BL66+BM66-BN66)</f>
        <v/>
      </c>
      <c r="BP66" s="152">
        <f>BS65</f>
        <v/>
      </c>
      <c r="BQ66" s="159">
        <f>IF(BP66&gt;0.005,BP66*Debts!D24/12,0)</f>
        <v/>
      </c>
      <c r="BR66" s="159" t="n">
        <v>0</v>
      </c>
      <c r="BS66" s="152">
        <f>MAX(0,BP66+BQ66-BR66)</f>
        <v/>
      </c>
      <c r="BT66" s="152">
        <f>BW65</f>
        <v/>
      </c>
      <c r="BU66" s="159">
        <f>IF(BT66&gt;0.005,BT66*Debts!D25/12,0)</f>
        <v/>
      </c>
      <c r="BV66" s="159" t="n">
        <v>0</v>
      </c>
      <c r="BW66" s="152">
        <f>MAX(0,BT66+BU66-BV66)</f>
        <v/>
      </c>
      <c r="BX66" s="152">
        <f>CA65</f>
        <v/>
      </c>
      <c r="BY66" s="159">
        <f>IF(BX66&gt;0.005,BX66*Debts!D26/12,0)</f>
        <v/>
      </c>
      <c r="BZ66" s="159" t="n">
        <v>0</v>
      </c>
      <c r="CA66" s="152">
        <f>MAX(0,BX66+BY66-BZ66)</f>
        <v/>
      </c>
      <c r="CB66" s="152">
        <f>CE65</f>
        <v/>
      </c>
      <c r="CC66" s="159">
        <f>IF(CB66&gt;0.005,CB66*Debts!D27/12,0)</f>
        <v/>
      </c>
      <c r="CD66" s="159" t="n">
        <v>0</v>
      </c>
      <c r="CE66" s="152">
        <f>MAX(0,CB66+CC66-CD66)</f>
        <v/>
      </c>
      <c r="CF66" s="152">
        <f>G66+K66+O66+S66+W66+AA66+AE66+AI66+AM66+AQ66+AU66+AY66+BC66+BG66+BK66+BO66+BS66+BW66+CA66+CE66</f>
        <v/>
      </c>
      <c r="CG66" s="159">
        <f>E66+I66+M66+Q66+U66+Y66+AC66+AG66+AK66+AO66+AS66+AW66+BA66+BE66+BI66+BM66+BQ66+BU66+BY66+CC66</f>
        <v/>
      </c>
      <c r="CH66" s="152">
        <f>CH65+CG66</f>
        <v/>
      </c>
      <c r="CI66" s="148" t="n"/>
      <c r="CJ66" s="148" t="n"/>
    </row>
    <row r="67" ht="15" customHeight="1" s="83">
      <c r="A67" s="148" t="n"/>
      <c r="B67" s="158" t="n">
        <v>63</v>
      </c>
      <c r="C67" s="152">
        <f>F67+J67+N67+R67+V67+Z67+AD67+AH67+AL67+AP67+AT67+AX67+BB67+BF67+BJ67+BN67+BR67+BV67+BZ67+CD67</f>
        <v/>
      </c>
      <c r="D67" s="152">
        <f>G66</f>
        <v/>
      </c>
      <c r="E67" s="159">
        <f>IF(D67&gt;0.005,D67*Debts!D8/12,0)</f>
        <v/>
      </c>
      <c r="F67" s="159" t="n">
        <v>0</v>
      </c>
      <c r="G67" s="152">
        <f>MAX(0,D67+E67-F67)</f>
        <v/>
      </c>
      <c r="H67" s="152">
        <f>K66</f>
        <v/>
      </c>
      <c r="I67" s="159">
        <f>IF(H67&gt;0.005,H67*Debts!D9/12,0)</f>
        <v/>
      </c>
      <c r="J67" s="159" t="n">
        <v>0</v>
      </c>
      <c r="K67" s="152">
        <f>MAX(0,H67+I67-J67)</f>
        <v/>
      </c>
      <c r="L67" s="152">
        <f>O66</f>
        <v/>
      </c>
      <c r="M67" s="159">
        <f>IF(L67&gt;0.005,L67*Debts!D10/12,0)</f>
        <v/>
      </c>
      <c r="N67" s="159" t="n">
        <v>0</v>
      </c>
      <c r="O67" s="152">
        <f>MAX(0,L67+M67-N67)</f>
        <v/>
      </c>
      <c r="P67" s="152">
        <f>S66</f>
        <v/>
      </c>
      <c r="Q67" s="159">
        <f>IF(P67&gt;0.005,P67*Debts!D11/12,0)</f>
        <v/>
      </c>
      <c r="R67" s="159" t="n">
        <v>0</v>
      </c>
      <c r="S67" s="152">
        <f>MAX(0,P67+Q67-R67)</f>
        <v/>
      </c>
      <c r="T67" s="152">
        <f>W66</f>
        <v/>
      </c>
      <c r="U67" s="159">
        <f>IF(T67&gt;0.005,T67*Debts!D12/12,0)</f>
        <v/>
      </c>
      <c r="V67" s="159" t="n">
        <v>0</v>
      </c>
      <c r="W67" s="152">
        <f>MAX(0,T67+U67-V67)</f>
        <v/>
      </c>
      <c r="X67" s="152">
        <f>AA66</f>
        <v/>
      </c>
      <c r="Y67" s="159">
        <f>IF(X67&gt;0.005,X67*Debts!D13/12,0)</f>
        <v/>
      </c>
      <c r="Z67" s="159" t="n">
        <v>0</v>
      </c>
      <c r="AA67" s="152">
        <f>MAX(0,X67+Y67-Z67)</f>
        <v/>
      </c>
      <c r="AB67" s="152">
        <f>AE66</f>
        <v/>
      </c>
      <c r="AC67" s="159">
        <f>IF(AB67&gt;0.005,AB67*Debts!D14/12,0)</f>
        <v/>
      </c>
      <c r="AD67" s="159" t="n">
        <v>0</v>
      </c>
      <c r="AE67" s="152">
        <f>MAX(0,AB67+AC67-AD67)</f>
        <v/>
      </c>
      <c r="AF67" s="152">
        <f>AI66</f>
        <v/>
      </c>
      <c r="AG67" s="159">
        <f>IF(AF67&gt;0.005,AF67*Debts!D15/12,0)</f>
        <v/>
      </c>
      <c r="AH67" s="159" t="n">
        <v>0</v>
      </c>
      <c r="AI67" s="152">
        <f>MAX(0,AF67+AG67-AH67)</f>
        <v/>
      </c>
      <c r="AJ67" s="152">
        <f>AM66</f>
        <v/>
      </c>
      <c r="AK67" s="159">
        <f>IF(AJ67&gt;0.005,AJ67*Debts!D16/12,0)</f>
        <v/>
      </c>
      <c r="AL67" s="159" t="n">
        <v>0</v>
      </c>
      <c r="AM67" s="152">
        <f>MAX(0,AJ67+AK67-AL67)</f>
        <v/>
      </c>
      <c r="AN67" s="152">
        <f>AQ66</f>
        <v/>
      </c>
      <c r="AO67" s="159">
        <f>IF(AN67&gt;0.005,AN67*Debts!D17/12,0)</f>
        <v/>
      </c>
      <c r="AP67" s="159" t="n">
        <v>0</v>
      </c>
      <c r="AQ67" s="152">
        <f>MAX(0,AN67+AO67-AP67)</f>
        <v/>
      </c>
      <c r="AR67" s="152">
        <f>AU66</f>
        <v/>
      </c>
      <c r="AS67" s="159">
        <f>IF(AR67&gt;0.005,AR67*Debts!D18/12,0)</f>
        <v/>
      </c>
      <c r="AT67" s="159" t="n">
        <v>0</v>
      </c>
      <c r="AU67" s="152">
        <f>MAX(0,AR67+AS67-AT67)</f>
        <v/>
      </c>
      <c r="AV67" s="152">
        <f>AY66</f>
        <v/>
      </c>
      <c r="AW67" s="159">
        <f>IF(AV67&gt;0.005,AV67*Debts!D19/12,0)</f>
        <v/>
      </c>
      <c r="AX67" s="159" t="n">
        <v>0</v>
      </c>
      <c r="AY67" s="152">
        <f>MAX(0,AV67+AW67-AX67)</f>
        <v/>
      </c>
      <c r="AZ67" s="152">
        <f>BC66</f>
        <v/>
      </c>
      <c r="BA67" s="159">
        <f>IF(AZ67&gt;0.005,AZ67*Debts!D20/12,0)</f>
        <v/>
      </c>
      <c r="BB67" s="159" t="n">
        <v>0</v>
      </c>
      <c r="BC67" s="152">
        <f>MAX(0,AZ67+BA67-BB67)</f>
        <v/>
      </c>
      <c r="BD67" s="152">
        <f>BG66</f>
        <v/>
      </c>
      <c r="BE67" s="159">
        <f>IF(BD67&gt;0.005,BD67*Debts!D21/12,0)</f>
        <v/>
      </c>
      <c r="BF67" s="159" t="n">
        <v>0</v>
      </c>
      <c r="BG67" s="152">
        <f>MAX(0,BD67+BE67-BF67)</f>
        <v/>
      </c>
      <c r="BH67" s="152">
        <f>BK66</f>
        <v/>
      </c>
      <c r="BI67" s="159">
        <f>IF(BH67&gt;0.005,BH67*Debts!D22/12,0)</f>
        <v/>
      </c>
      <c r="BJ67" s="159" t="n">
        <v>0</v>
      </c>
      <c r="BK67" s="152">
        <f>MAX(0,BH67+BI67-BJ67)</f>
        <v/>
      </c>
      <c r="BL67" s="152">
        <f>BO66</f>
        <v/>
      </c>
      <c r="BM67" s="159">
        <f>IF(BL67&gt;0.005,BL67*Debts!D23/12,0)</f>
        <v/>
      </c>
      <c r="BN67" s="159" t="n">
        <v>0</v>
      </c>
      <c r="BO67" s="152">
        <f>MAX(0,BL67+BM67-BN67)</f>
        <v/>
      </c>
      <c r="BP67" s="152">
        <f>BS66</f>
        <v/>
      </c>
      <c r="BQ67" s="159">
        <f>IF(BP67&gt;0.005,BP67*Debts!D24/12,0)</f>
        <v/>
      </c>
      <c r="BR67" s="159" t="n">
        <v>0</v>
      </c>
      <c r="BS67" s="152">
        <f>MAX(0,BP67+BQ67-BR67)</f>
        <v/>
      </c>
      <c r="BT67" s="152">
        <f>BW66</f>
        <v/>
      </c>
      <c r="BU67" s="159">
        <f>IF(BT67&gt;0.005,BT67*Debts!D25/12,0)</f>
        <v/>
      </c>
      <c r="BV67" s="159" t="n">
        <v>0</v>
      </c>
      <c r="BW67" s="152">
        <f>MAX(0,BT67+BU67-BV67)</f>
        <v/>
      </c>
      <c r="BX67" s="152">
        <f>CA66</f>
        <v/>
      </c>
      <c r="BY67" s="159">
        <f>IF(BX67&gt;0.005,BX67*Debts!D26/12,0)</f>
        <v/>
      </c>
      <c r="BZ67" s="159" t="n">
        <v>0</v>
      </c>
      <c r="CA67" s="152">
        <f>MAX(0,BX67+BY67-BZ67)</f>
        <v/>
      </c>
      <c r="CB67" s="152">
        <f>CE66</f>
        <v/>
      </c>
      <c r="CC67" s="159">
        <f>IF(CB67&gt;0.005,CB67*Debts!D27/12,0)</f>
        <v/>
      </c>
      <c r="CD67" s="159" t="n">
        <v>0</v>
      </c>
      <c r="CE67" s="152">
        <f>MAX(0,CB67+CC67-CD67)</f>
        <v/>
      </c>
      <c r="CF67" s="152">
        <f>G67+K67+O67+S67+W67+AA67+AE67+AI67+AM67+AQ67+AU67+AY67+BC67+BG67+BK67+BO67+BS67+BW67+CA67+CE67</f>
        <v/>
      </c>
      <c r="CG67" s="159">
        <f>E67+I67+M67+Q67+U67+Y67+AC67+AG67+AK67+AO67+AS67+AW67+BA67+BE67+BI67+BM67+BQ67+BU67+BY67+CC67</f>
        <v/>
      </c>
      <c r="CH67" s="152">
        <f>CH66+CG67</f>
        <v/>
      </c>
      <c r="CI67" s="148" t="n"/>
      <c r="CJ67" s="148" t="n"/>
    </row>
    <row r="68" ht="15" customHeight="1" s="83">
      <c r="A68" s="148" t="n"/>
      <c r="B68" s="158" t="n">
        <v>64</v>
      </c>
      <c r="C68" s="152">
        <f>F68+J68+N68+R68+V68+Z68+AD68+AH68+AL68+AP68+AT68+AX68+BB68+BF68+BJ68+BN68+BR68+BV68+BZ68+CD68</f>
        <v/>
      </c>
      <c r="D68" s="152">
        <f>G67</f>
        <v/>
      </c>
      <c r="E68" s="159">
        <f>IF(D68&gt;0.005,D68*Debts!D8/12,0)</f>
        <v/>
      </c>
      <c r="F68" s="159" t="n">
        <v>0</v>
      </c>
      <c r="G68" s="152">
        <f>MAX(0,D68+E68-F68)</f>
        <v/>
      </c>
      <c r="H68" s="152">
        <f>K67</f>
        <v/>
      </c>
      <c r="I68" s="159">
        <f>IF(H68&gt;0.005,H68*Debts!D9/12,0)</f>
        <v/>
      </c>
      <c r="J68" s="159" t="n">
        <v>0</v>
      </c>
      <c r="K68" s="152">
        <f>MAX(0,H68+I68-J68)</f>
        <v/>
      </c>
      <c r="L68" s="152">
        <f>O67</f>
        <v/>
      </c>
      <c r="M68" s="159">
        <f>IF(L68&gt;0.005,L68*Debts!D10/12,0)</f>
        <v/>
      </c>
      <c r="N68" s="159" t="n">
        <v>0</v>
      </c>
      <c r="O68" s="152">
        <f>MAX(0,L68+M68-N68)</f>
        <v/>
      </c>
      <c r="P68" s="152">
        <f>S67</f>
        <v/>
      </c>
      <c r="Q68" s="159">
        <f>IF(P68&gt;0.005,P68*Debts!D11/12,0)</f>
        <v/>
      </c>
      <c r="R68" s="159" t="n">
        <v>0</v>
      </c>
      <c r="S68" s="152">
        <f>MAX(0,P68+Q68-R68)</f>
        <v/>
      </c>
      <c r="T68" s="152">
        <f>W67</f>
        <v/>
      </c>
      <c r="U68" s="159">
        <f>IF(T68&gt;0.005,T68*Debts!D12/12,0)</f>
        <v/>
      </c>
      <c r="V68" s="159" t="n">
        <v>0</v>
      </c>
      <c r="W68" s="152">
        <f>MAX(0,T68+U68-V68)</f>
        <v/>
      </c>
      <c r="X68" s="152">
        <f>AA67</f>
        <v/>
      </c>
      <c r="Y68" s="159">
        <f>IF(X68&gt;0.005,X68*Debts!D13/12,0)</f>
        <v/>
      </c>
      <c r="Z68" s="159" t="n">
        <v>0</v>
      </c>
      <c r="AA68" s="152">
        <f>MAX(0,X68+Y68-Z68)</f>
        <v/>
      </c>
      <c r="AB68" s="152">
        <f>AE67</f>
        <v/>
      </c>
      <c r="AC68" s="159">
        <f>IF(AB68&gt;0.005,AB68*Debts!D14/12,0)</f>
        <v/>
      </c>
      <c r="AD68" s="159" t="n">
        <v>0</v>
      </c>
      <c r="AE68" s="152">
        <f>MAX(0,AB68+AC68-AD68)</f>
        <v/>
      </c>
      <c r="AF68" s="152">
        <f>AI67</f>
        <v/>
      </c>
      <c r="AG68" s="159">
        <f>IF(AF68&gt;0.005,AF68*Debts!D15/12,0)</f>
        <v/>
      </c>
      <c r="AH68" s="159" t="n">
        <v>0</v>
      </c>
      <c r="AI68" s="152">
        <f>MAX(0,AF68+AG68-AH68)</f>
        <v/>
      </c>
      <c r="AJ68" s="152">
        <f>AM67</f>
        <v/>
      </c>
      <c r="AK68" s="159">
        <f>IF(AJ68&gt;0.005,AJ68*Debts!D16/12,0)</f>
        <v/>
      </c>
      <c r="AL68" s="159" t="n">
        <v>0</v>
      </c>
      <c r="AM68" s="152">
        <f>MAX(0,AJ68+AK68-AL68)</f>
        <v/>
      </c>
      <c r="AN68" s="152">
        <f>AQ67</f>
        <v/>
      </c>
      <c r="AO68" s="159">
        <f>IF(AN68&gt;0.005,AN68*Debts!D17/12,0)</f>
        <v/>
      </c>
      <c r="AP68" s="159" t="n">
        <v>0</v>
      </c>
      <c r="AQ68" s="152">
        <f>MAX(0,AN68+AO68-AP68)</f>
        <v/>
      </c>
      <c r="AR68" s="152">
        <f>AU67</f>
        <v/>
      </c>
      <c r="AS68" s="159">
        <f>IF(AR68&gt;0.005,AR68*Debts!D18/12,0)</f>
        <v/>
      </c>
      <c r="AT68" s="159" t="n">
        <v>0</v>
      </c>
      <c r="AU68" s="152">
        <f>MAX(0,AR68+AS68-AT68)</f>
        <v/>
      </c>
      <c r="AV68" s="152">
        <f>AY67</f>
        <v/>
      </c>
      <c r="AW68" s="159">
        <f>IF(AV68&gt;0.005,AV68*Debts!D19/12,0)</f>
        <v/>
      </c>
      <c r="AX68" s="159" t="n">
        <v>0</v>
      </c>
      <c r="AY68" s="152">
        <f>MAX(0,AV68+AW68-AX68)</f>
        <v/>
      </c>
      <c r="AZ68" s="152">
        <f>BC67</f>
        <v/>
      </c>
      <c r="BA68" s="159">
        <f>IF(AZ68&gt;0.005,AZ68*Debts!D20/12,0)</f>
        <v/>
      </c>
      <c r="BB68" s="159" t="n">
        <v>0</v>
      </c>
      <c r="BC68" s="152">
        <f>MAX(0,AZ68+BA68-BB68)</f>
        <v/>
      </c>
      <c r="BD68" s="152">
        <f>BG67</f>
        <v/>
      </c>
      <c r="BE68" s="159">
        <f>IF(BD68&gt;0.005,BD68*Debts!D21/12,0)</f>
        <v/>
      </c>
      <c r="BF68" s="159" t="n">
        <v>0</v>
      </c>
      <c r="BG68" s="152">
        <f>MAX(0,BD68+BE68-BF68)</f>
        <v/>
      </c>
      <c r="BH68" s="152">
        <f>BK67</f>
        <v/>
      </c>
      <c r="BI68" s="159">
        <f>IF(BH68&gt;0.005,BH68*Debts!D22/12,0)</f>
        <v/>
      </c>
      <c r="BJ68" s="159" t="n">
        <v>0</v>
      </c>
      <c r="BK68" s="152">
        <f>MAX(0,BH68+BI68-BJ68)</f>
        <v/>
      </c>
      <c r="BL68" s="152">
        <f>BO67</f>
        <v/>
      </c>
      <c r="BM68" s="159">
        <f>IF(BL68&gt;0.005,BL68*Debts!D23/12,0)</f>
        <v/>
      </c>
      <c r="BN68" s="159" t="n">
        <v>0</v>
      </c>
      <c r="BO68" s="152">
        <f>MAX(0,BL68+BM68-BN68)</f>
        <v/>
      </c>
      <c r="BP68" s="152">
        <f>BS67</f>
        <v/>
      </c>
      <c r="BQ68" s="159">
        <f>IF(BP68&gt;0.005,BP68*Debts!D24/12,0)</f>
        <v/>
      </c>
      <c r="BR68" s="159" t="n">
        <v>0</v>
      </c>
      <c r="BS68" s="152">
        <f>MAX(0,BP68+BQ68-BR68)</f>
        <v/>
      </c>
      <c r="BT68" s="152">
        <f>BW67</f>
        <v/>
      </c>
      <c r="BU68" s="159">
        <f>IF(BT68&gt;0.005,BT68*Debts!D25/12,0)</f>
        <v/>
      </c>
      <c r="BV68" s="159" t="n">
        <v>0</v>
      </c>
      <c r="BW68" s="152">
        <f>MAX(0,BT68+BU68-BV68)</f>
        <v/>
      </c>
      <c r="BX68" s="152">
        <f>CA67</f>
        <v/>
      </c>
      <c r="BY68" s="159">
        <f>IF(BX68&gt;0.005,BX68*Debts!D26/12,0)</f>
        <v/>
      </c>
      <c r="BZ68" s="159" t="n">
        <v>0</v>
      </c>
      <c r="CA68" s="152">
        <f>MAX(0,BX68+BY68-BZ68)</f>
        <v/>
      </c>
      <c r="CB68" s="152">
        <f>CE67</f>
        <v/>
      </c>
      <c r="CC68" s="159">
        <f>IF(CB68&gt;0.005,CB68*Debts!D27/12,0)</f>
        <v/>
      </c>
      <c r="CD68" s="159" t="n">
        <v>0</v>
      </c>
      <c r="CE68" s="152">
        <f>MAX(0,CB68+CC68-CD68)</f>
        <v/>
      </c>
      <c r="CF68" s="152">
        <f>G68+K68+O68+S68+W68+AA68+AE68+AI68+AM68+AQ68+AU68+AY68+BC68+BG68+BK68+BO68+BS68+BW68+CA68+CE68</f>
        <v/>
      </c>
      <c r="CG68" s="159">
        <f>E68+I68+M68+Q68+U68+Y68+AC68+AG68+AK68+AO68+AS68+AW68+BA68+BE68+BI68+BM68+BQ68+BU68+BY68+CC68</f>
        <v/>
      </c>
      <c r="CH68" s="152">
        <f>CH67+CG68</f>
        <v/>
      </c>
      <c r="CI68" s="148" t="n"/>
      <c r="CJ68" s="148" t="n"/>
    </row>
    <row r="69" ht="15" customHeight="1" s="83">
      <c r="A69" s="148" t="n"/>
      <c r="B69" s="158" t="n">
        <v>65</v>
      </c>
      <c r="C69" s="152">
        <f>F69+J69+N69+R69+V69+Z69+AD69+AH69+AL69+AP69+AT69+AX69+BB69+BF69+BJ69+BN69+BR69+BV69+BZ69+CD69</f>
        <v/>
      </c>
      <c r="D69" s="152">
        <f>G68</f>
        <v/>
      </c>
      <c r="E69" s="159">
        <f>IF(D69&gt;0.005,D69*Debts!D8/12,0)</f>
        <v/>
      </c>
      <c r="F69" s="159" t="n">
        <v>0</v>
      </c>
      <c r="G69" s="152">
        <f>MAX(0,D69+E69-F69)</f>
        <v/>
      </c>
      <c r="H69" s="152">
        <f>K68</f>
        <v/>
      </c>
      <c r="I69" s="159">
        <f>IF(H69&gt;0.005,H69*Debts!D9/12,0)</f>
        <v/>
      </c>
      <c r="J69" s="159" t="n">
        <v>0</v>
      </c>
      <c r="K69" s="152">
        <f>MAX(0,H69+I69-J69)</f>
        <v/>
      </c>
      <c r="L69" s="152">
        <f>O68</f>
        <v/>
      </c>
      <c r="M69" s="159">
        <f>IF(L69&gt;0.005,L69*Debts!D10/12,0)</f>
        <v/>
      </c>
      <c r="N69" s="159" t="n">
        <v>0</v>
      </c>
      <c r="O69" s="152">
        <f>MAX(0,L69+M69-N69)</f>
        <v/>
      </c>
      <c r="P69" s="152">
        <f>S68</f>
        <v/>
      </c>
      <c r="Q69" s="159">
        <f>IF(P69&gt;0.005,P69*Debts!D11/12,0)</f>
        <v/>
      </c>
      <c r="R69" s="159" t="n">
        <v>0</v>
      </c>
      <c r="S69" s="152">
        <f>MAX(0,P69+Q69-R69)</f>
        <v/>
      </c>
      <c r="T69" s="152">
        <f>W68</f>
        <v/>
      </c>
      <c r="U69" s="159">
        <f>IF(T69&gt;0.005,T69*Debts!D12/12,0)</f>
        <v/>
      </c>
      <c r="V69" s="159" t="n">
        <v>0</v>
      </c>
      <c r="W69" s="152">
        <f>MAX(0,T69+U69-V69)</f>
        <v/>
      </c>
      <c r="X69" s="152">
        <f>AA68</f>
        <v/>
      </c>
      <c r="Y69" s="159">
        <f>IF(X69&gt;0.005,X69*Debts!D13/12,0)</f>
        <v/>
      </c>
      <c r="Z69" s="159" t="n">
        <v>0</v>
      </c>
      <c r="AA69" s="152">
        <f>MAX(0,X69+Y69-Z69)</f>
        <v/>
      </c>
      <c r="AB69" s="152">
        <f>AE68</f>
        <v/>
      </c>
      <c r="AC69" s="159">
        <f>IF(AB69&gt;0.005,AB69*Debts!D14/12,0)</f>
        <v/>
      </c>
      <c r="AD69" s="159" t="n">
        <v>0</v>
      </c>
      <c r="AE69" s="152">
        <f>MAX(0,AB69+AC69-AD69)</f>
        <v/>
      </c>
      <c r="AF69" s="152">
        <f>AI68</f>
        <v/>
      </c>
      <c r="AG69" s="159">
        <f>IF(AF69&gt;0.005,AF69*Debts!D15/12,0)</f>
        <v/>
      </c>
      <c r="AH69" s="159" t="n">
        <v>0</v>
      </c>
      <c r="AI69" s="152">
        <f>MAX(0,AF69+AG69-AH69)</f>
        <v/>
      </c>
      <c r="AJ69" s="152">
        <f>AM68</f>
        <v/>
      </c>
      <c r="AK69" s="159">
        <f>IF(AJ69&gt;0.005,AJ69*Debts!D16/12,0)</f>
        <v/>
      </c>
      <c r="AL69" s="159" t="n">
        <v>0</v>
      </c>
      <c r="AM69" s="152">
        <f>MAX(0,AJ69+AK69-AL69)</f>
        <v/>
      </c>
      <c r="AN69" s="152">
        <f>AQ68</f>
        <v/>
      </c>
      <c r="AO69" s="159">
        <f>IF(AN69&gt;0.005,AN69*Debts!D17/12,0)</f>
        <v/>
      </c>
      <c r="AP69" s="159" t="n">
        <v>0</v>
      </c>
      <c r="AQ69" s="152">
        <f>MAX(0,AN69+AO69-AP69)</f>
        <v/>
      </c>
      <c r="AR69" s="152">
        <f>AU68</f>
        <v/>
      </c>
      <c r="AS69" s="159">
        <f>IF(AR69&gt;0.005,AR69*Debts!D18/12,0)</f>
        <v/>
      </c>
      <c r="AT69" s="159" t="n">
        <v>0</v>
      </c>
      <c r="AU69" s="152">
        <f>MAX(0,AR69+AS69-AT69)</f>
        <v/>
      </c>
      <c r="AV69" s="152">
        <f>AY68</f>
        <v/>
      </c>
      <c r="AW69" s="159">
        <f>IF(AV69&gt;0.005,AV69*Debts!D19/12,0)</f>
        <v/>
      </c>
      <c r="AX69" s="159" t="n">
        <v>0</v>
      </c>
      <c r="AY69" s="152">
        <f>MAX(0,AV69+AW69-AX69)</f>
        <v/>
      </c>
      <c r="AZ69" s="152">
        <f>BC68</f>
        <v/>
      </c>
      <c r="BA69" s="159">
        <f>IF(AZ69&gt;0.005,AZ69*Debts!D20/12,0)</f>
        <v/>
      </c>
      <c r="BB69" s="159" t="n">
        <v>0</v>
      </c>
      <c r="BC69" s="152">
        <f>MAX(0,AZ69+BA69-BB69)</f>
        <v/>
      </c>
      <c r="BD69" s="152">
        <f>BG68</f>
        <v/>
      </c>
      <c r="BE69" s="159">
        <f>IF(BD69&gt;0.005,BD69*Debts!D21/12,0)</f>
        <v/>
      </c>
      <c r="BF69" s="159" t="n">
        <v>0</v>
      </c>
      <c r="BG69" s="152">
        <f>MAX(0,BD69+BE69-BF69)</f>
        <v/>
      </c>
      <c r="BH69" s="152">
        <f>BK68</f>
        <v/>
      </c>
      <c r="BI69" s="159">
        <f>IF(BH69&gt;0.005,BH69*Debts!D22/12,0)</f>
        <v/>
      </c>
      <c r="BJ69" s="159" t="n">
        <v>0</v>
      </c>
      <c r="BK69" s="152">
        <f>MAX(0,BH69+BI69-BJ69)</f>
        <v/>
      </c>
      <c r="BL69" s="152">
        <f>BO68</f>
        <v/>
      </c>
      <c r="BM69" s="159">
        <f>IF(BL69&gt;0.005,BL69*Debts!D23/12,0)</f>
        <v/>
      </c>
      <c r="BN69" s="159" t="n">
        <v>0</v>
      </c>
      <c r="BO69" s="152">
        <f>MAX(0,BL69+BM69-BN69)</f>
        <v/>
      </c>
      <c r="BP69" s="152">
        <f>BS68</f>
        <v/>
      </c>
      <c r="BQ69" s="159">
        <f>IF(BP69&gt;0.005,BP69*Debts!D24/12,0)</f>
        <v/>
      </c>
      <c r="BR69" s="159" t="n">
        <v>0</v>
      </c>
      <c r="BS69" s="152">
        <f>MAX(0,BP69+BQ69-BR69)</f>
        <v/>
      </c>
      <c r="BT69" s="152">
        <f>BW68</f>
        <v/>
      </c>
      <c r="BU69" s="159">
        <f>IF(BT69&gt;0.005,BT69*Debts!D25/12,0)</f>
        <v/>
      </c>
      <c r="BV69" s="159" t="n">
        <v>0</v>
      </c>
      <c r="BW69" s="152">
        <f>MAX(0,BT69+BU69-BV69)</f>
        <v/>
      </c>
      <c r="BX69" s="152">
        <f>CA68</f>
        <v/>
      </c>
      <c r="BY69" s="159">
        <f>IF(BX69&gt;0.005,BX69*Debts!D26/12,0)</f>
        <v/>
      </c>
      <c r="BZ69" s="159" t="n">
        <v>0</v>
      </c>
      <c r="CA69" s="152">
        <f>MAX(0,BX69+BY69-BZ69)</f>
        <v/>
      </c>
      <c r="CB69" s="152">
        <f>CE68</f>
        <v/>
      </c>
      <c r="CC69" s="159">
        <f>IF(CB69&gt;0.005,CB69*Debts!D27/12,0)</f>
        <v/>
      </c>
      <c r="CD69" s="159" t="n">
        <v>0</v>
      </c>
      <c r="CE69" s="152">
        <f>MAX(0,CB69+CC69-CD69)</f>
        <v/>
      </c>
      <c r="CF69" s="152">
        <f>G69+K69+O69+S69+W69+AA69+AE69+AI69+AM69+AQ69+AU69+AY69+BC69+BG69+BK69+BO69+BS69+BW69+CA69+CE69</f>
        <v/>
      </c>
      <c r="CG69" s="159">
        <f>E69+I69+M69+Q69+U69+Y69+AC69+AG69+AK69+AO69+AS69+AW69+BA69+BE69+BI69+BM69+BQ69+BU69+BY69+CC69</f>
        <v/>
      </c>
      <c r="CH69" s="152">
        <f>CH68+CG69</f>
        <v/>
      </c>
      <c r="CI69" s="148" t="n"/>
      <c r="CJ69" s="148" t="n"/>
    </row>
    <row r="70" ht="15" customHeight="1" s="83">
      <c r="A70" s="148" t="n"/>
      <c r="B70" s="158" t="n">
        <v>66</v>
      </c>
      <c r="C70" s="152">
        <f>F70+J70+N70+R70+V70+Z70+AD70+AH70+AL70+AP70+AT70+AX70+BB70+BF70+BJ70+BN70+BR70+BV70+BZ70+CD70</f>
        <v/>
      </c>
      <c r="D70" s="152">
        <f>G69</f>
        <v/>
      </c>
      <c r="E70" s="159">
        <f>IF(D70&gt;0.005,D70*Debts!D8/12,0)</f>
        <v/>
      </c>
      <c r="F70" s="159" t="n">
        <v>0</v>
      </c>
      <c r="G70" s="152">
        <f>MAX(0,D70+E70-F70)</f>
        <v/>
      </c>
      <c r="H70" s="152">
        <f>K69</f>
        <v/>
      </c>
      <c r="I70" s="159">
        <f>IF(H70&gt;0.005,H70*Debts!D9/12,0)</f>
        <v/>
      </c>
      <c r="J70" s="159" t="n">
        <v>0</v>
      </c>
      <c r="K70" s="152">
        <f>MAX(0,H70+I70-J70)</f>
        <v/>
      </c>
      <c r="L70" s="152">
        <f>O69</f>
        <v/>
      </c>
      <c r="M70" s="159">
        <f>IF(L70&gt;0.005,L70*Debts!D10/12,0)</f>
        <v/>
      </c>
      <c r="N70" s="159" t="n">
        <v>0</v>
      </c>
      <c r="O70" s="152">
        <f>MAX(0,L70+M70-N70)</f>
        <v/>
      </c>
      <c r="P70" s="152">
        <f>S69</f>
        <v/>
      </c>
      <c r="Q70" s="159">
        <f>IF(P70&gt;0.005,P70*Debts!D11/12,0)</f>
        <v/>
      </c>
      <c r="R70" s="159" t="n">
        <v>0</v>
      </c>
      <c r="S70" s="152">
        <f>MAX(0,P70+Q70-R70)</f>
        <v/>
      </c>
      <c r="T70" s="152">
        <f>W69</f>
        <v/>
      </c>
      <c r="U70" s="159">
        <f>IF(T70&gt;0.005,T70*Debts!D12/12,0)</f>
        <v/>
      </c>
      <c r="V70" s="159" t="n">
        <v>0</v>
      </c>
      <c r="W70" s="152">
        <f>MAX(0,T70+U70-V70)</f>
        <v/>
      </c>
      <c r="X70" s="152">
        <f>AA69</f>
        <v/>
      </c>
      <c r="Y70" s="159">
        <f>IF(X70&gt;0.005,X70*Debts!D13/12,0)</f>
        <v/>
      </c>
      <c r="Z70" s="159" t="n">
        <v>0</v>
      </c>
      <c r="AA70" s="152">
        <f>MAX(0,X70+Y70-Z70)</f>
        <v/>
      </c>
      <c r="AB70" s="152">
        <f>AE69</f>
        <v/>
      </c>
      <c r="AC70" s="159">
        <f>IF(AB70&gt;0.005,AB70*Debts!D14/12,0)</f>
        <v/>
      </c>
      <c r="AD70" s="159" t="n">
        <v>0</v>
      </c>
      <c r="AE70" s="152">
        <f>MAX(0,AB70+AC70-AD70)</f>
        <v/>
      </c>
      <c r="AF70" s="152">
        <f>AI69</f>
        <v/>
      </c>
      <c r="AG70" s="159">
        <f>IF(AF70&gt;0.005,AF70*Debts!D15/12,0)</f>
        <v/>
      </c>
      <c r="AH70" s="159" t="n">
        <v>0</v>
      </c>
      <c r="AI70" s="152">
        <f>MAX(0,AF70+AG70-AH70)</f>
        <v/>
      </c>
      <c r="AJ70" s="152">
        <f>AM69</f>
        <v/>
      </c>
      <c r="AK70" s="159">
        <f>IF(AJ70&gt;0.005,AJ70*Debts!D16/12,0)</f>
        <v/>
      </c>
      <c r="AL70" s="159" t="n">
        <v>0</v>
      </c>
      <c r="AM70" s="152">
        <f>MAX(0,AJ70+AK70-AL70)</f>
        <v/>
      </c>
      <c r="AN70" s="152">
        <f>AQ69</f>
        <v/>
      </c>
      <c r="AO70" s="159">
        <f>IF(AN70&gt;0.005,AN70*Debts!D17/12,0)</f>
        <v/>
      </c>
      <c r="AP70" s="159" t="n">
        <v>0</v>
      </c>
      <c r="AQ70" s="152">
        <f>MAX(0,AN70+AO70-AP70)</f>
        <v/>
      </c>
      <c r="AR70" s="152">
        <f>AU69</f>
        <v/>
      </c>
      <c r="AS70" s="159">
        <f>IF(AR70&gt;0.005,AR70*Debts!D18/12,0)</f>
        <v/>
      </c>
      <c r="AT70" s="159" t="n">
        <v>0</v>
      </c>
      <c r="AU70" s="152">
        <f>MAX(0,AR70+AS70-AT70)</f>
        <v/>
      </c>
      <c r="AV70" s="152">
        <f>AY69</f>
        <v/>
      </c>
      <c r="AW70" s="159">
        <f>IF(AV70&gt;0.005,AV70*Debts!D19/12,0)</f>
        <v/>
      </c>
      <c r="AX70" s="159" t="n">
        <v>0</v>
      </c>
      <c r="AY70" s="152">
        <f>MAX(0,AV70+AW70-AX70)</f>
        <v/>
      </c>
      <c r="AZ70" s="152">
        <f>BC69</f>
        <v/>
      </c>
      <c r="BA70" s="159">
        <f>IF(AZ70&gt;0.005,AZ70*Debts!D20/12,0)</f>
        <v/>
      </c>
      <c r="BB70" s="159" t="n">
        <v>0</v>
      </c>
      <c r="BC70" s="152">
        <f>MAX(0,AZ70+BA70-BB70)</f>
        <v/>
      </c>
      <c r="BD70" s="152">
        <f>BG69</f>
        <v/>
      </c>
      <c r="BE70" s="159">
        <f>IF(BD70&gt;0.005,BD70*Debts!D21/12,0)</f>
        <v/>
      </c>
      <c r="BF70" s="159" t="n">
        <v>0</v>
      </c>
      <c r="BG70" s="152">
        <f>MAX(0,BD70+BE70-BF70)</f>
        <v/>
      </c>
      <c r="BH70" s="152">
        <f>BK69</f>
        <v/>
      </c>
      <c r="BI70" s="159">
        <f>IF(BH70&gt;0.005,BH70*Debts!D22/12,0)</f>
        <v/>
      </c>
      <c r="BJ70" s="159" t="n">
        <v>0</v>
      </c>
      <c r="BK70" s="152">
        <f>MAX(0,BH70+BI70-BJ70)</f>
        <v/>
      </c>
      <c r="BL70" s="152">
        <f>BO69</f>
        <v/>
      </c>
      <c r="BM70" s="159">
        <f>IF(BL70&gt;0.005,BL70*Debts!D23/12,0)</f>
        <v/>
      </c>
      <c r="BN70" s="159" t="n">
        <v>0</v>
      </c>
      <c r="BO70" s="152">
        <f>MAX(0,BL70+BM70-BN70)</f>
        <v/>
      </c>
      <c r="BP70" s="152">
        <f>BS69</f>
        <v/>
      </c>
      <c r="BQ70" s="159">
        <f>IF(BP70&gt;0.005,BP70*Debts!D24/12,0)</f>
        <v/>
      </c>
      <c r="BR70" s="159" t="n">
        <v>0</v>
      </c>
      <c r="BS70" s="152">
        <f>MAX(0,BP70+BQ70-BR70)</f>
        <v/>
      </c>
      <c r="BT70" s="152">
        <f>BW69</f>
        <v/>
      </c>
      <c r="BU70" s="159">
        <f>IF(BT70&gt;0.005,BT70*Debts!D25/12,0)</f>
        <v/>
      </c>
      <c r="BV70" s="159" t="n">
        <v>0</v>
      </c>
      <c r="BW70" s="152">
        <f>MAX(0,BT70+BU70-BV70)</f>
        <v/>
      </c>
      <c r="BX70" s="152">
        <f>CA69</f>
        <v/>
      </c>
      <c r="BY70" s="159">
        <f>IF(BX70&gt;0.005,BX70*Debts!D26/12,0)</f>
        <v/>
      </c>
      <c r="BZ70" s="159" t="n">
        <v>0</v>
      </c>
      <c r="CA70" s="152">
        <f>MAX(0,BX70+BY70-BZ70)</f>
        <v/>
      </c>
      <c r="CB70" s="152">
        <f>CE69</f>
        <v/>
      </c>
      <c r="CC70" s="159">
        <f>IF(CB70&gt;0.005,CB70*Debts!D27/12,0)</f>
        <v/>
      </c>
      <c r="CD70" s="159" t="n">
        <v>0</v>
      </c>
      <c r="CE70" s="152">
        <f>MAX(0,CB70+CC70-CD70)</f>
        <v/>
      </c>
      <c r="CF70" s="152">
        <f>G70+K70+O70+S70+W70+AA70+AE70+AI70+AM70+AQ70+AU70+AY70+BC70+BG70+BK70+BO70+BS70+BW70+CA70+CE70</f>
        <v/>
      </c>
      <c r="CG70" s="159">
        <f>E70+I70+M70+Q70+U70+Y70+AC70+AG70+AK70+AO70+AS70+AW70+BA70+BE70+BI70+BM70+BQ70+BU70+BY70+CC70</f>
        <v/>
      </c>
      <c r="CH70" s="152">
        <f>CH69+CG70</f>
        <v/>
      </c>
      <c r="CI70" s="148" t="n"/>
      <c r="CJ70" s="148" t="n"/>
    </row>
    <row r="71" ht="15" customHeight="1" s="83">
      <c r="A71" s="148" t="n"/>
      <c r="B71" s="158" t="n">
        <v>67</v>
      </c>
      <c r="C71" s="152">
        <f>F71+J71+N71+R71+V71+Z71+AD71+AH71+AL71+AP71+AT71+AX71+BB71+BF71+BJ71+BN71+BR71+BV71+BZ71+CD71</f>
        <v/>
      </c>
      <c r="D71" s="152">
        <f>G70</f>
        <v/>
      </c>
      <c r="E71" s="159">
        <f>IF(D71&gt;0.005,D71*Debts!D8/12,0)</f>
        <v/>
      </c>
      <c r="F71" s="159" t="n">
        <v>0</v>
      </c>
      <c r="G71" s="152">
        <f>MAX(0,D71+E71-F71)</f>
        <v/>
      </c>
      <c r="H71" s="152">
        <f>K70</f>
        <v/>
      </c>
      <c r="I71" s="159">
        <f>IF(H71&gt;0.005,H71*Debts!D9/12,0)</f>
        <v/>
      </c>
      <c r="J71" s="159" t="n">
        <v>0</v>
      </c>
      <c r="K71" s="152">
        <f>MAX(0,H71+I71-J71)</f>
        <v/>
      </c>
      <c r="L71" s="152">
        <f>O70</f>
        <v/>
      </c>
      <c r="M71" s="159">
        <f>IF(L71&gt;0.005,L71*Debts!D10/12,0)</f>
        <v/>
      </c>
      <c r="N71" s="159" t="n">
        <v>0</v>
      </c>
      <c r="O71" s="152">
        <f>MAX(0,L71+M71-N71)</f>
        <v/>
      </c>
      <c r="P71" s="152">
        <f>S70</f>
        <v/>
      </c>
      <c r="Q71" s="159">
        <f>IF(P71&gt;0.005,P71*Debts!D11/12,0)</f>
        <v/>
      </c>
      <c r="R71" s="159" t="n">
        <v>0</v>
      </c>
      <c r="S71" s="152">
        <f>MAX(0,P71+Q71-R71)</f>
        <v/>
      </c>
      <c r="T71" s="152">
        <f>W70</f>
        <v/>
      </c>
      <c r="U71" s="159">
        <f>IF(T71&gt;0.005,T71*Debts!D12/12,0)</f>
        <v/>
      </c>
      <c r="V71" s="159" t="n">
        <v>0</v>
      </c>
      <c r="W71" s="152">
        <f>MAX(0,T71+U71-V71)</f>
        <v/>
      </c>
      <c r="X71" s="152">
        <f>AA70</f>
        <v/>
      </c>
      <c r="Y71" s="159">
        <f>IF(X71&gt;0.005,X71*Debts!D13/12,0)</f>
        <v/>
      </c>
      <c r="Z71" s="159" t="n">
        <v>0</v>
      </c>
      <c r="AA71" s="152">
        <f>MAX(0,X71+Y71-Z71)</f>
        <v/>
      </c>
      <c r="AB71" s="152">
        <f>AE70</f>
        <v/>
      </c>
      <c r="AC71" s="159">
        <f>IF(AB71&gt;0.005,AB71*Debts!D14/12,0)</f>
        <v/>
      </c>
      <c r="AD71" s="159" t="n">
        <v>0</v>
      </c>
      <c r="AE71" s="152">
        <f>MAX(0,AB71+AC71-AD71)</f>
        <v/>
      </c>
      <c r="AF71" s="152">
        <f>AI70</f>
        <v/>
      </c>
      <c r="AG71" s="159">
        <f>IF(AF71&gt;0.005,AF71*Debts!D15/12,0)</f>
        <v/>
      </c>
      <c r="AH71" s="159" t="n">
        <v>0</v>
      </c>
      <c r="AI71" s="152">
        <f>MAX(0,AF71+AG71-AH71)</f>
        <v/>
      </c>
      <c r="AJ71" s="152">
        <f>AM70</f>
        <v/>
      </c>
      <c r="AK71" s="159">
        <f>IF(AJ71&gt;0.005,AJ71*Debts!D16/12,0)</f>
        <v/>
      </c>
      <c r="AL71" s="159" t="n">
        <v>0</v>
      </c>
      <c r="AM71" s="152">
        <f>MAX(0,AJ71+AK71-AL71)</f>
        <v/>
      </c>
      <c r="AN71" s="152">
        <f>AQ70</f>
        <v/>
      </c>
      <c r="AO71" s="159">
        <f>IF(AN71&gt;0.005,AN71*Debts!D17/12,0)</f>
        <v/>
      </c>
      <c r="AP71" s="159" t="n">
        <v>0</v>
      </c>
      <c r="AQ71" s="152">
        <f>MAX(0,AN71+AO71-AP71)</f>
        <v/>
      </c>
      <c r="AR71" s="152">
        <f>AU70</f>
        <v/>
      </c>
      <c r="AS71" s="159">
        <f>IF(AR71&gt;0.005,AR71*Debts!D18/12,0)</f>
        <v/>
      </c>
      <c r="AT71" s="159" t="n">
        <v>0</v>
      </c>
      <c r="AU71" s="152">
        <f>MAX(0,AR71+AS71-AT71)</f>
        <v/>
      </c>
      <c r="AV71" s="152">
        <f>AY70</f>
        <v/>
      </c>
      <c r="AW71" s="159">
        <f>IF(AV71&gt;0.005,AV71*Debts!D19/12,0)</f>
        <v/>
      </c>
      <c r="AX71" s="159" t="n">
        <v>0</v>
      </c>
      <c r="AY71" s="152">
        <f>MAX(0,AV71+AW71-AX71)</f>
        <v/>
      </c>
      <c r="AZ71" s="152">
        <f>BC70</f>
        <v/>
      </c>
      <c r="BA71" s="159">
        <f>IF(AZ71&gt;0.005,AZ71*Debts!D20/12,0)</f>
        <v/>
      </c>
      <c r="BB71" s="159" t="n">
        <v>0</v>
      </c>
      <c r="BC71" s="152">
        <f>MAX(0,AZ71+BA71-BB71)</f>
        <v/>
      </c>
      <c r="BD71" s="152">
        <f>BG70</f>
        <v/>
      </c>
      <c r="BE71" s="159">
        <f>IF(BD71&gt;0.005,BD71*Debts!D21/12,0)</f>
        <v/>
      </c>
      <c r="BF71" s="159" t="n">
        <v>0</v>
      </c>
      <c r="BG71" s="152">
        <f>MAX(0,BD71+BE71-BF71)</f>
        <v/>
      </c>
      <c r="BH71" s="152">
        <f>BK70</f>
        <v/>
      </c>
      <c r="BI71" s="159">
        <f>IF(BH71&gt;0.005,BH71*Debts!D22/12,0)</f>
        <v/>
      </c>
      <c r="BJ71" s="159" t="n">
        <v>0</v>
      </c>
      <c r="BK71" s="152">
        <f>MAX(0,BH71+BI71-BJ71)</f>
        <v/>
      </c>
      <c r="BL71" s="152">
        <f>BO70</f>
        <v/>
      </c>
      <c r="BM71" s="159">
        <f>IF(BL71&gt;0.005,BL71*Debts!D23/12,0)</f>
        <v/>
      </c>
      <c r="BN71" s="159" t="n">
        <v>0</v>
      </c>
      <c r="BO71" s="152">
        <f>MAX(0,BL71+BM71-BN71)</f>
        <v/>
      </c>
      <c r="BP71" s="152">
        <f>BS70</f>
        <v/>
      </c>
      <c r="BQ71" s="159">
        <f>IF(BP71&gt;0.005,BP71*Debts!D24/12,0)</f>
        <v/>
      </c>
      <c r="BR71" s="159" t="n">
        <v>0</v>
      </c>
      <c r="BS71" s="152">
        <f>MAX(0,BP71+BQ71-BR71)</f>
        <v/>
      </c>
      <c r="BT71" s="152">
        <f>BW70</f>
        <v/>
      </c>
      <c r="BU71" s="159">
        <f>IF(BT71&gt;0.005,BT71*Debts!D25/12,0)</f>
        <v/>
      </c>
      <c r="BV71" s="159" t="n">
        <v>0</v>
      </c>
      <c r="BW71" s="152">
        <f>MAX(0,BT71+BU71-BV71)</f>
        <v/>
      </c>
      <c r="BX71" s="152">
        <f>CA70</f>
        <v/>
      </c>
      <c r="BY71" s="159">
        <f>IF(BX71&gt;0.005,BX71*Debts!D26/12,0)</f>
        <v/>
      </c>
      <c r="BZ71" s="159" t="n">
        <v>0</v>
      </c>
      <c r="CA71" s="152">
        <f>MAX(0,BX71+BY71-BZ71)</f>
        <v/>
      </c>
      <c r="CB71" s="152">
        <f>CE70</f>
        <v/>
      </c>
      <c r="CC71" s="159">
        <f>IF(CB71&gt;0.005,CB71*Debts!D27/12,0)</f>
        <v/>
      </c>
      <c r="CD71" s="159" t="n">
        <v>0</v>
      </c>
      <c r="CE71" s="152">
        <f>MAX(0,CB71+CC71-CD71)</f>
        <v/>
      </c>
      <c r="CF71" s="152">
        <f>G71+K71+O71+S71+W71+AA71+AE71+AI71+AM71+AQ71+AU71+AY71+BC71+BG71+BK71+BO71+BS71+BW71+CA71+CE71</f>
        <v/>
      </c>
      <c r="CG71" s="159">
        <f>E71+I71+M71+Q71+U71+Y71+AC71+AG71+AK71+AO71+AS71+AW71+BA71+BE71+BI71+BM71+BQ71+BU71+BY71+CC71</f>
        <v/>
      </c>
      <c r="CH71" s="152">
        <f>CH70+CG71</f>
        <v/>
      </c>
      <c r="CI71" s="148" t="n"/>
      <c r="CJ71" s="148" t="n"/>
    </row>
    <row r="72" ht="15" customHeight="1" s="83">
      <c r="A72" s="148" t="n"/>
      <c r="B72" s="158" t="n">
        <v>68</v>
      </c>
      <c r="C72" s="152">
        <f>F72+J72+N72+R72+V72+Z72+AD72+AH72+AL72+AP72+AT72+AX72+BB72+BF72+BJ72+BN72+BR72+BV72+BZ72+CD72</f>
        <v/>
      </c>
      <c r="D72" s="152">
        <f>G71</f>
        <v/>
      </c>
      <c r="E72" s="159">
        <f>IF(D72&gt;0.005,D72*Debts!D8/12,0)</f>
        <v/>
      </c>
      <c r="F72" s="159" t="n">
        <v>0</v>
      </c>
      <c r="G72" s="152">
        <f>MAX(0,D72+E72-F72)</f>
        <v/>
      </c>
      <c r="H72" s="152">
        <f>K71</f>
        <v/>
      </c>
      <c r="I72" s="159">
        <f>IF(H72&gt;0.005,H72*Debts!D9/12,0)</f>
        <v/>
      </c>
      <c r="J72" s="159" t="n">
        <v>0</v>
      </c>
      <c r="K72" s="152">
        <f>MAX(0,H72+I72-J72)</f>
        <v/>
      </c>
      <c r="L72" s="152">
        <f>O71</f>
        <v/>
      </c>
      <c r="M72" s="159">
        <f>IF(L72&gt;0.005,L72*Debts!D10/12,0)</f>
        <v/>
      </c>
      <c r="N72" s="159" t="n">
        <v>0</v>
      </c>
      <c r="O72" s="152">
        <f>MAX(0,L72+M72-N72)</f>
        <v/>
      </c>
      <c r="P72" s="152">
        <f>S71</f>
        <v/>
      </c>
      <c r="Q72" s="159">
        <f>IF(P72&gt;0.005,P72*Debts!D11/12,0)</f>
        <v/>
      </c>
      <c r="R72" s="159" t="n">
        <v>0</v>
      </c>
      <c r="S72" s="152">
        <f>MAX(0,P72+Q72-R72)</f>
        <v/>
      </c>
      <c r="T72" s="152">
        <f>W71</f>
        <v/>
      </c>
      <c r="U72" s="159">
        <f>IF(T72&gt;0.005,T72*Debts!D12/12,0)</f>
        <v/>
      </c>
      <c r="V72" s="159" t="n">
        <v>0</v>
      </c>
      <c r="W72" s="152">
        <f>MAX(0,T72+U72-V72)</f>
        <v/>
      </c>
      <c r="X72" s="152">
        <f>AA71</f>
        <v/>
      </c>
      <c r="Y72" s="159">
        <f>IF(X72&gt;0.005,X72*Debts!D13/12,0)</f>
        <v/>
      </c>
      <c r="Z72" s="159" t="n">
        <v>0</v>
      </c>
      <c r="AA72" s="152">
        <f>MAX(0,X72+Y72-Z72)</f>
        <v/>
      </c>
      <c r="AB72" s="152">
        <f>AE71</f>
        <v/>
      </c>
      <c r="AC72" s="159">
        <f>IF(AB72&gt;0.005,AB72*Debts!D14/12,0)</f>
        <v/>
      </c>
      <c r="AD72" s="159" t="n">
        <v>0</v>
      </c>
      <c r="AE72" s="152">
        <f>MAX(0,AB72+AC72-AD72)</f>
        <v/>
      </c>
      <c r="AF72" s="152">
        <f>AI71</f>
        <v/>
      </c>
      <c r="AG72" s="159">
        <f>IF(AF72&gt;0.005,AF72*Debts!D15/12,0)</f>
        <v/>
      </c>
      <c r="AH72" s="159" t="n">
        <v>0</v>
      </c>
      <c r="AI72" s="152">
        <f>MAX(0,AF72+AG72-AH72)</f>
        <v/>
      </c>
      <c r="AJ72" s="152">
        <f>AM71</f>
        <v/>
      </c>
      <c r="AK72" s="159">
        <f>IF(AJ72&gt;0.005,AJ72*Debts!D16/12,0)</f>
        <v/>
      </c>
      <c r="AL72" s="159" t="n">
        <v>0</v>
      </c>
      <c r="AM72" s="152">
        <f>MAX(0,AJ72+AK72-AL72)</f>
        <v/>
      </c>
      <c r="AN72" s="152">
        <f>AQ71</f>
        <v/>
      </c>
      <c r="AO72" s="159">
        <f>IF(AN72&gt;0.005,AN72*Debts!D17/12,0)</f>
        <v/>
      </c>
      <c r="AP72" s="159" t="n">
        <v>0</v>
      </c>
      <c r="AQ72" s="152">
        <f>MAX(0,AN72+AO72-AP72)</f>
        <v/>
      </c>
      <c r="AR72" s="152">
        <f>AU71</f>
        <v/>
      </c>
      <c r="AS72" s="159">
        <f>IF(AR72&gt;0.005,AR72*Debts!D18/12,0)</f>
        <v/>
      </c>
      <c r="AT72" s="159" t="n">
        <v>0</v>
      </c>
      <c r="AU72" s="152">
        <f>MAX(0,AR72+AS72-AT72)</f>
        <v/>
      </c>
      <c r="AV72" s="152">
        <f>AY71</f>
        <v/>
      </c>
      <c r="AW72" s="159">
        <f>IF(AV72&gt;0.005,AV72*Debts!D19/12,0)</f>
        <v/>
      </c>
      <c r="AX72" s="159" t="n">
        <v>0</v>
      </c>
      <c r="AY72" s="152">
        <f>MAX(0,AV72+AW72-AX72)</f>
        <v/>
      </c>
      <c r="AZ72" s="152">
        <f>BC71</f>
        <v/>
      </c>
      <c r="BA72" s="159">
        <f>IF(AZ72&gt;0.005,AZ72*Debts!D20/12,0)</f>
        <v/>
      </c>
      <c r="BB72" s="159" t="n">
        <v>0</v>
      </c>
      <c r="BC72" s="152">
        <f>MAX(0,AZ72+BA72-BB72)</f>
        <v/>
      </c>
      <c r="BD72" s="152">
        <f>BG71</f>
        <v/>
      </c>
      <c r="BE72" s="159">
        <f>IF(BD72&gt;0.005,BD72*Debts!D21/12,0)</f>
        <v/>
      </c>
      <c r="BF72" s="159" t="n">
        <v>0</v>
      </c>
      <c r="BG72" s="152">
        <f>MAX(0,BD72+BE72-BF72)</f>
        <v/>
      </c>
      <c r="BH72" s="152">
        <f>BK71</f>
        <v/>
      </c>
      <c r="BI72" s="159">
        <f>IF(BH72&gt;0.005,BH72*Debts!D22/12,0)</f>
        <v/>
      </c>
      <c r="BJ72" s="159" t="n">
        <v>0</v>
      </c>
      <c r="BK72" s="152">
        <f>MAX(0,BH72+BI72-BJ72)</f>
        <v/>
      </c>
      <c r="BL72" s="152">
        <f>BO71</f>
        <v/>
      </c>
      <c r="BM72" s="159">
        <f>IF(BL72&gt;0.005,BL72*Debts!D23/12,0)</f>
        <v/>
      </c>
      <c r="BN72" s="159" t="n">
        <v>0</v>
      </c>
      <c r="BO72" s="152">
        <f>MAX(0,BL72+BM72-BN72)</f>
        <v/>
      </c>
      <c r="BP72" s="152">
        <f>BS71</f>
        <v/>
      </c>
      <c r="BQ72" s="159">
        <f>IF(BP72&gt;0.005,BP72*Debts!D24/12,0)</f>
        <v/>
      </c>
      <c r="BR72" s="159" t="n">
        <v>0</v>
      </c>
      <c r="BS72" s="152">
        <f>MAX(0,BP72+BQ72-BR72)</f>
        <v/>
      </c>
      <c r="BT72" s="152">
        <f>BW71</f>
        <v/>
      </c>
      <c r="BU72" s="159">
        <f>IF(BT72&gt;0.005,BT72*Debts!D25/12,0)</f>
        <v/>
      </c>
      <c r="BV72" s="159" t="n">
        <v>0</v>
      </c>
      <c r="BW72" s="152">
        <f>MAX(0,BT72+BU72-BV72)</f>
        <v/>
      </c>
      <c r="BX72" s="152">
        <f>CA71</f>
        <v/>
      </c>
      <c r="BY72" s="159">
        <f>IF(BX72&gt;0.005,BX72*Debts!D26/12,0)</f>
        <v/>
      </c>
      <c r="BZ72" s="159" t="n">
        <v>0</v>
      </c>
      <c r="CA72" s="152">
        <f>MAX(0,BX72+BY72-BZ72)</f>
        <v/>
      </c>
      <c r="CB72" s="152">
        <f>CE71</f>
        <v/>
      </c>
      <c r="CC72" s="159">
        <f>IF(CB72&gt;0.005,CB72*Debts!D27/12,0)</f>
        <v/>
      </c>
      <c r="CD72" s="159" t="n">
        <v>0</v>
      </c>
      <c r="CE72" s="152">
        <f>MAX(0,CB72+CC72-CD72)</f>
        <v/>
      </c>
      <c r="CF72" s="152">
        <f>G72+K72+O72+S72+W72+AA72+AE72+AI72+AM72+AQ72+AU72+AY72+BC72+BG72+BK72+BO72+BS72+BW72+CA72+CE72</f>
        <v/>
      </c>
      <c r="CG72" s="159">
        <f>E72+I72+M72+Q72+U72+Y72+AC72+AG72+AK72+AO72+AS72+AW72+BA72+BE72+BI72+BM72+BQ72+BU72+BY72+CC72</f>
        <v/>
      </c>
      <c r="CH72" s="152">
        <f>CH71+CG72</f>
        <v/>
      </c>
      <c r="CI72" s="148" t="n"/>
      <c r="CJ72" s="148" t="n"/>
    </row>
    <row r="73" ht="15" customHeight="1" s="83">
      <c r="A73" s="148" t="n"/>
      <c r="B73" s="158" t="n">
        <v>69</v>
      </c>
      <c r="C73" s="152">
        <f>F73+J73+N73+R73+V73+Z73+AD73+AH73+AL73+AP73+AT73+AX73+BB73+BF73+BJ73+BN73+BR73+BV73+BZ73+CD73</f>
        <v/>
      </c>
      <c r="D73" s="152">
        <f>G72</f>
        <v/>
      </c>
      <c r="E73" s="159">
        <f>IF(D73&gt;0.005,D73*Debts!D8/12,0)</f>
        <v/>
      </c>
      <c r="F73" s="159" t="n">
        <v>0</v>
      </c>
      <c r="G73" s="152">
        <f>MAX(0,D73+E73-F73)</f>
        <v/>
      </c>
      <c r="H73" s="152">
        <f>K72</f>
        <v/>
      </c>
      <c r="I73" s="159">
        <f>IF(H73&gt;0.005,H73*Debts!D9/12,0)</f>
        <v/>
      </c>
      <c r="J73" s="159" t="n">
        <v>0</v>
      </c>
      <c r="K73" s="152">
        <f>MAX(0,H73+I73-J73)</f>
        <v/>
      </c>
      <c r="L73" s="152">
        <f>O72</f>
        <v/>
      </c>
      <c r="M73" s="159">
        <f>IF(L73&gt;0.005,L73*Debts!D10/12,0)</f>
        <v/>
      </c>
      <c r="N73" s="159" t="n">
        <v>0</v>
      </c>
      <c r="O73" s="152">
        <f>MAX(0,L73+M73-N73)</f>
        <v/>
      </c>
      <c r="P73" s="152">
        <f>S72</f>
        <v/>
      </c>
      <c r="Q73" s="159">
        <f>IF(P73&gt;0.005,P73*Debts!D11/12,0)</f>
        <v/>
      </c>
      <c r="R73" s="159" t="n">
        <v>0</v>
      </c>
      <c r="S73" s="152">
        <f>MAX(0,P73+Q73-R73)</f>
        <v/>
      </c>
      <c r="T73" s="152">
        <f>W72</f>
        <v/>
      </c>
      <c r="U73" s="159">
        <f>IF(T73&gt;0.005,T73*Debts!D12/12,0)</f>
        <v/>
      </c>
      <c r="V73" s="159" t="n">
        <v>0</v>
      </c>
      <c r="W73" s="152">
        <f>MAX(0,T73+U73-V73)</f>
        <v/>
      </c>
      <c r="X73" s="152">
        <f>AA72</f>
        <v/>
      </c>
      <c r="Y73" s="159">
        <f>IF(X73&gt;0.005,X73*Debts!D13/12,0)</f>
        <v/>
      </c>
      <c r="Z73" s="159" t="n">
        <v>0</v>
      </c>
      <c r="AA73" s="152">
        <f>MAX(0,X73+Y73-Z73)</f>
        <v/>
      </c>
      <c r="AB73" s="152">
        <f>AE72</f>
        <v/>
      </c>
      <c r="AC73" s="159">
        <f>IF(AB73&gt;0.005,AB73*Debts!D14/12,0)</f>
        <v/>
      </c>
      <c r="AD73" s="159" t="n">
        <v>0</v>
      </c>
      <c r="AE73" s="152">
        <f>MAX(0,AB73+AC73-AD73)</f>
        <v/>
      </c>
      <c r="AF73" s="152">
        <f>AI72</f>
        <v/>
      </c>
      <c r="AG73" s="159">
        <f>IF(AF73&gt;0.005,AF73*Debts!D15/12,0)</f>
        <v/>
      </c>
      <c r="AH73" s="159" t="n">
        <v>0</v>
      </c>
      <c r="AI73" s="152">
        <f>MAX(0,AF73+AG73-AH73)</f>
        <v/>
      </c>
      <c r="AJ73" s="152">
        <f>AM72</f>
        <v/>
      </c>
      <c r="AK73" s="159">
        <f>IF(AJ73&gt;0.005,AJ73*Debts!D16/12,0)</f>
        <v/>
      </c>
      <c r="AL73" s="159" t="n">
        <v>0</v>
      </c>
      <c r="AM73" s="152">
        <f>MAX(0,AJ73+AK73-AL73)</f>
        <v/>
      </c>
      <c r="AN73" s="152">
        <f>AQ72</f>
        <v/>
      </c>
      <c r="AO73" s="159">
        <f>IF(AN73&gt;0.005,AN73*Debts!D17/12,0)</f>
        <v/>
      </c>
      <c r="AP73" s="159" t="n">
        <v>0</v>
      </c>
      <c r="AQ73" s="152">
        <f>MAX(0,AN73+AO73-AP73)</f>
        <v/>
      </c>
      <c r="AR73" s="152">
        <f>AU72</f>
        <v/>
      </c>
      <c r="AS73" s="159">
        <f>IF(AR73&gt;0.005,AR73*Debts!D18/12,0)</f>
        <v/>
      </c>
      <c r="AT73" s="159" t="n">
        <v>0</v>
      </c>
      <c r="AU73" s="152">
        <f>MAX(0,AR73+AS73-AT73)</f>
        <v/>
      </c>
      <c r="AV73" s="152">
        <f>AY72</f>
        <v/>
      </c>
      <c r="AW73" s="159">
        <f>IF(AV73&gt;0.005,AV73*Debts!D19/12,0)</f>
        <v/>
      </c>
      <c r="AX73" s="159" t="n">
        <v>0</v>
      </c>
      <c r="AY73" s="152">
        <f>MAX(0,AV73+AW73-AX73)</f>
        <v/>
      </c>
      <c r="AZ73" s="152">
        <f>BC72</f>
        <v/>
      </c>
      <c r="BA73" s="159">
        <f>IF(AZ73&gt;0.005,AZ73*Debts!D20/12,0)</f>
        <v/>
      </c>
      <c r="BB73" s="159" t="n">
        <v>0</v>
      </c>
      <c r="BC73" s="152">
        <f>MAX(0,AZ73+BA73-BB73)</f>
        <v/>
      </c>
      <c r="BD73" s="152">
        <f>BG72</f>
        <v/>
      </c>
      <c r="BE73" s="159">
        <f>IF(BD73&gt;0.005,BD73*Debts!D21/12,0)</f>
        <v/>
      </c>
      <c r="BF73" s="159" t="n">
        <v>0</v>
      </c>
      <c r="BG73" s="152">
        <f>MAX(0,BD73+BE73-BF73)</f>
        <v/>
      </c>
      <c r="BH73" s="152">
        <f>BK72</f>
        <v/>
      </c>
      <c r="BI73" s="159">
        <f>IF(BH73&gt;0.005,BH73*Debts!D22/12,0)</f>
        <v/>
      </c>
      <c r="BJ73" s="159" t="n">
        <v>0</v>
      </c>
      <c r="BK73" s="152">
        <f>MAX(0,BH73+BI73-BJ73)</f>
        <v/>
      </c>
      <c r="BL73" s="152">
        <f>BO72</f>
        <v/>
      </c>
      <c r="BM73" s="159">
        <f>IF(BL73&gt;0.005,BL73*Debts!D23/12,0)</f>
        <v/>
      </c>
      <c r="BN73" s="159" t="n">
        <v>0</v>
      </c>
      <c r="BO73" s="152">
        <f>MAX(0,BL73+BM73-BN73)</f>
        <v/>
      </c>
      <c r="BP73" s="152">
        <f>BS72</f>
        <v/>
      </c>
      <c r="BQ73" s="159">
        <f>IF(BP73&gt;0.005,BP73*Debts!D24/12,0)</f>
        <v/>
      </c>
      <c r="BR73" s="159" t="n">
        <v>0</v>
      </c>
      <c r="BS73" s="152">
        <f>MAX(0,BP73+BQ73-BR73)</f>
        <v/>
      </c>
      <c r="BT73" s="152">
        <f>BW72</f>
        <v/>
      </c>
      <c r="BU73" s="159">
        <f>IF(BT73&gt;0.005,BT73*Debts!D25/12,0)</f>
        <v/>
      </c>
      <c r="BV73" s="159" t="n">
        <v>0</v>
      </c>
      <c r="BW73" s="152">
        <f>MAX(0,BT73+BU73-BV73)</f>
        <v/>
      </c>
      <c r="BX73" s="152">
        <f>CA72</f>
        <v/>
      </c>
      <c r="BY73" s="159">
        <f>IF(BX73&gt;0.005,BX73*Debts!D26/12,0)</f>
        <v/>
      </c>
      <c r="BZ73" s="159" t="n">
        <v>0</v>
      </c>
      <c r="CA73" s="152">
        <f>MAX(0,BX73+BY73-BZ73)</f>
        <v/>
      </c>
      <c r="CB73" s="152">
        <f>CE72</f>
        <v/>
      </c>
      <c r="CC73" s="159">
        <f>IF(CB73&gt;0.005,CB73*Debts!D27/12,0)</f>
        <v/>
      </c>
      <c r="CD73" s="159" t="n">
        <v>0</v>
      </c>
      <c r="CE73" s="152">
        <f>MAX(0,CB73+CC73-CD73)</f>
        <v/>
      </c>
      <c r="CF73" s="152">
        <f>G73+K73+O73+S73+W73+AA73+AE73+AI73+AM73+AQ73+AU73+AY73+BC73+BG73+BK73+BO73+BS73+BW73+CA73+CE73</f>
        <v/>
      </c>
      <c r="CG73" s="159">
        <f>E73+I73+M73+Q73+U73+Y73+AC73+AG73+AK73+AO73+AS73+AW73+BA73+BE73+BI73+BM73+BQ73+BU73+BY73+CC73</f>
        <v/>
      </c>
      <c r="CH73" s="152">
        <f>CH72+CG73</f>
        <v/>
      </c>
      <c r="CI73" s="148" t="n"/>
      <c r="CJ73" s="148" t="n"/>
    </row>
    <row r="74" ht="15" customHeight="1" s="83">
      <c r="A74" s="148" t="n"/>
      <c r="B74" s="158" t="n">
        <v>70</v>
      </c>
      <c r="C74" s="152">
        <f>F74+J74+N74+R74+V74+Z74+AD74+AH74+AL74+AP74+AT74+AX74+BB74+BF74+BJ74+BN74+BR74+BV74+BZ74+CD74</f>
        <v/>
      </c>
      <c r="D74" s="152">
        <f>G73</f>
        <v/>
      </c>
      <c r="E74" s="159">
        <f>IF(D74&gt;0.005,D74*Debts!D8/12,0)</f>
        <v/>
      </c>
      <c r="F74" s="159" t="n">
        <v>0</v>
      </c>
      <c r="G74" s="152">
        <f>MAX(0,D74+E74-F74)</f>
        <v/>
      </c>
      <c r="H74" s="152">
        <f>K73</f>
        <v/>
      </c>
      <c r="I74" s="159">
        <f>IF(H74&gt;0.005,H74*Debts!D9/12,0)</f>
        <v/>
      </c>
      <c r="J74" s="159" t="n">
        <v>0</v>
      </c>
      <c r="K74" s="152">
        <f>MAX(0,H74+I74-J74)</f>
        <v/>
      </c>
      <c r="L74" s="152">
        <f>O73</f>
        <v/>
      </c>
      <c r="M74" s="159">
        <f>IF(L74&gt;0.005,L74*Debts!D10/12,0)</f>
        <v/>
      </c>
      <c r="N74" s="159" t="n">
        <v>0</v>
      </c>
      <c r="O74" s="152">
        <f>MAX(0,L74+M74-N74)</f>
        <v/>
      </c>
      <c r="P74" s="152">
        <f>S73</f>
        <v/>
      </c>
      <c r="Q74" s="159">
        <f>IF(P74&gt;0.005,P74*Debts!D11/12,0)</f>
        <v/>
      </c>
      <c r="R74" s="159" t="n">
        <v>0</v>
      </c>
      <c r="S74" s="152">
        <f>MAX(0,P74+Q74-R74)</f>
        <v/>
      </c>
      <c r="T74" s="152">
        <f>W73</f>
        <v/>
      </c>
      <c r="U74" s="159">
        <f>IF(T74&gt;0.005,T74*Debts!D12/12,0)</f>
        <v/>
      </c>
      <c r="V74" s="159" t="n">
        <v>0</v>
      </c>
      <c r="W74" s="152">
        <f>MAX(0,T74+U74-V74)</f>
        <v/>
      </c>
      <c r="X74" s="152">
        <f>AA73</f>
        <v/>
      </c>
      <c r="Y74" s="159">
        <f>IF(X74&gt;0.005,X74*Debts!D13/12,0)</f>
        <v/>
      </c>
      <c r="Z74" s="159" t="n">
        <v>0</v>
      </c>
      <c r="AA74" s="152">
        <f>MAX(0,X74+Y74-Z74)</f>
        <v/>
      </c>
      <c r="AB74" s="152">
        <f>AE73</f>
        <v/>
      </c>
      <c r="AC74" s="159">
        <f>IF(AB74&gt;0.005,AB74*Debts!D14/12,0)</f>
        <v/>
      </c>
      <c r="AD74" s="159" t="n">
        <v>0</v>
      </c>
      <c r="AE74" s="152">
        <f>MAX(0,AB74+AC74-AD74)</f>
        <v/>
      </c>
      <c r="AF74" s="152">
        <f>AI73</f>
        <v/>
      </c>
      <c r="AG74" s="159">
        <f>IF(AF74&gt;0.005,AF74*Debts!D15/12,0)</f>
        <v/>
      </c>
      <c r="AH74" s="159" t="n">
        <v>0</v>
      </c>
      <c r="AI74" s="152">
        <f>MAX(0,AF74+AG74-AH74)</f>
        <v/>
      </c>
      <c r="AJ74" s="152">
        <f>AM73</f>
        <v/>
      </c>
      <c r="AK74" s="159">
        <f>IF(AJ74&gt;0.005,AJ74*Debts!D16/12,0)</f>
        <v/>
      </c>
      <c r="AL74" s="159" t="n">
        <v>0</v>
      </c>
      <c r="AM74" s="152">
        <f>MAX(0,AJ74+AK74-AL74)</f>
        <v/>
      </c>
      <c r="AN74" s="152">
        <f>AQ73</f>
        <v/>
      </c>
      <c r="AO74" s="159">
        <f>IF(AN74&gt;0.005,AN74*Debts!D17/12,0)</f>
        <v/>
      </c>
      <c r="AP74" s="159" t="n">
        <v>0</v>
      </c>
      <c r="AQ74" s="152">
        <f>MAX(0,AN74+AO74-AP74)</f>
        <v/>
      </c>
      <c r="AR74" s="152">
        <f>AU73</f>
        <v/>
      </c>
      <c r="AS74" s="159">
        <f>IF(AR74&gt;0.005,AR74*Debts!D18/12,0)</f>
        <v/>
      </c>
      <c r="AT74" s="159" t="n">
        <v>0</v>
      </c>
      <c r="AU74" s="152">
        <f>MAX(0,AR74+AS74-AT74)</f>
        <v/>
      </c>
      <c r="AV74" s="152">
        <f>AY73</f>
        <v/>
      </c>
      <c r="AW74" s="159">
        <f>IF(AV74&gt;0.005,AV74*Debts!D19/12,0)</f>
        <v/>
      </c>
      <c r="AX74" s="159" t="n">
        <v>0</v>
      </c>
      <c r="AY74" s="152">
        <f>MAX(0,AV74+AW74-AX74)</f>
        <v/>
      </c>
      <c r="AZ74" s="152">
        <f>BC73</f>
        <v/>
      </c>
      <c r="BA74" s="159">
        <f>IF(AZ74&gt;0.005,AZ74*Debts!D20/12,0)</f>
        <v/>
      </c>
      <c r="BB74" s="159" t="n">
        <v>0</v>
      </c>
      <c r="BC74" s="152">
        <f>MAX(0,AZ74+BA74-BB74)</f>
        <v/>
      </c>
      <c r="BD74" s="152">
        <f>BG73</f>
        <v/>
      </c>
      <c r="BE74" s="159">
        <f>IF(BD74&gt;0.005,BD74*Debts!D21/12,0)</f>
        <v/>
      </c>
      <c r="BF74" s="159" t="n">
        <v>0</v>
      </c>
      <c r="BG74" s="152">
        <f>MAX(0,BD74+BE74-BF74)</f>
        <v/>
      </c>
      <c r="BH74" s="152">
        <f>BK73</f>
        <v/>
      </c>
      <c r="BI74" s="159">
        <f>IF(BH74&gt;0.005,BH74*Debts!D22/12,0)</f>
        <v/>
      </c>
      <c r="BJ74" s="159" t="n">
        <v>0</v>
      </c>
      <c r="BK74" s="152">
        <f>MAX(0,BH74+BI74-BJ74)</f>
        <v/>
      </c>
      <c r="BL74" s="152">
        <f>BO73</f>
        <v/>
      </c>
      <c r="BM74" s="159">
        <f>IF(BL74&gt;0.005,BL74*Debts!D23/12,0)</f>
        <v/>
      </c>
      <c r="BN74" s="159" t="n">
        <v>0</v>
      </c>
      <c r="BO74" s="152">
        <f>MAX(0,BL74+BM74-BN74)</f>
        <v/>
      </c>
      <c r="BP74" s="152">
        <f>BS73</f>
        <v/>
      </c>
      <c r="BQ74" s="159">
        <f>IF(BP74&gt;0.005,BP74*Debts!D24/12,0)</f>
        <v/>
      </c>
      <c r="BR74" s="159" t="n">
        <v>0</v>
      </c>
      <c r="BS74" s="152">
        <f>MAX(0,BP74+BQ74-BR74)</f>
        <v/>
      </c>
      <c r="BT74" s="152">
        <f>BW73</f>
        <v/>
      </c>
      <c r="BU74" s="159">
        <f>IF(BT74&gt;0.005,BT74*Debts!D25/12,0)</f>
        <v/>
      </c>
      <c r="BV74" s="159" t="n">
        <v>0</v>
      </c>
      <c r="BW74" s="152">
        <f>MAX(0,BT74+BU74-BV74)</f>
        <v/>
      </c>
      <c r="BX74" s="152">
        <f>CA73</f>
        <v/>
      </c>
      <c r="BY74" s="159">
        <f>IF(BX74&gt;0.005,BX74*Debts!D26/12,0)</f>
        <v/>
      </c>
      <c r="BZ74" s="159" t="n">
        <v>0</v>
      </c>
      <c r="CA74" s="152">
        <f>MAX(0,BX74+BY74-BZ74)</f>
        <v/>
      </c>
      <c r="CB74" s="152">
        <f>CE73</f>
        <v/>
      </c>
      <c r="CC74" s="159">
        <f>IF(CB74&gt;0.005,CB74*Debts!D27/12,0)</f>
        <v/>
      </c>
      <c r="CD74" s="159" t="n">
        <v>0</v>
      </c>
      <c r="CE74" s="152">
        <f>MAX(0,CB74+CC74-CD74)</f>
        <v/>
      </c>
      <c r="CF74" s="152">
        <f>G74+K74+O74+S74+W74+AA74+AE74+AI74+AM74+AQ74+AU74+AY74+BC74+BG74+BK74+BO74+BS74+BW74+CA74+CE74</f>
        <v/>
      </c>
      <c r="CG74" s="159">
        <f>E74+I74+M74+Q74+U74+Y74+AC74+AG74+AK74+AO74+AS74+AW74+BA74+BE74+BI74+BM74+BQ74+BU74+BY74+CC74</f>
        <v/>
      </c>
      <c r="CH74" s="152">
        <f>CH73+CG74</f>
        <v/>
      </c>
      <c r="CI74" s="148" t="n"/>
      <c r="CJ74" s="148" t="n"/>
    </row>
    <row r="75" ht="15" customHeight="1" s="83">
      <c r="A75" s="148" t="n"/>
      <c r="B75" s="158" t="n">
        <v>71</v>
      </c>
      <c r="C75" s="152">
        <f>F75+J75+N75+R75+V75+Z75+AD75+AH75+AL75+AP75+AT75+AX75+BB75+BF75+BJ75+BN75+BR75+BV75+BZ75+CD75</f>
        <v/>
      </c>
      <c r="D75" s="152">
        <f>G74</f>
        <v/>
      </c>
      <c r="E75" s="159">
        <f>IF(D75&gt;0.005,D75*Debts!D8/12,0)</f>
        <v/>
      </c>
      <c r="F75" s="159" t="n">
        <v>0</v>
      </c>
      <c r="G75" s="152">
        <f>MAX(0,D75+E75-F75)</f>
        <v/>
      </c>
      <c r="H75" s="152">
        <f>K74</f>
        <v/>
      </c>
      <c r="I75" s="159">
        <f>IF(H75&gt;0.005,H75*Debts!D9/12,0)</f>
        <v/>
      </c>
      <c r="J75" s="159" t="n">
        <v>0</v>
      </c>
      <c r="K75" s="152">
        <f>MAX(0,H75+I75-J75)</f>
        <v/>
      </c>
      <c r="L75" s="152">
        <f>O74</f>
        <v/>
      </c>
      <c r="M75" s="159">
        <f>IF(L75&gt;0.005,L75*Debts!D10/12,0)</f>
        <v/>
      </c>
      <c r="N75" s="159" t="n">
        <v>0</v>
      </c>
      <c r="O75" s="152">
        <f>MAX(0,L75+M75-N75)</f>
        <v/>
      </c>
      <c r="P75" s="152">
        <f>S74</f>
        <v/>
      </c>
      <c r="Q75" s="159">
        <f>IF(P75&gt;0.005,P75*Debts!D11/12,0)</f>
        <v/>
      </c>
      <c r="R75" s="159" t="n">
        <v>0</v>
      </c>
      <c r="S75" s="152">
        <f>MAX(0,P75+Q75-R75)</f>
        <v/>
      </c>
      <c r="T75" s="152">
        <f>W74</f>
        <v/>
      </c>
      <c r="U75" s="159">
        <f>IF(T75&gt;0.005,T75*Debts!D12/12,0)</f>
        <v/>
      </c>
      <c r="V75" s="159" t="n">
        <v>0</v>
      </c>
      <c r="W75" s="152">
        <f>MAX(0,T75+U75-V75)</f>
        <v/>
      </c>
      <c r="X75" s="152">
        <f>AA74</f>
        <v/>
      </c>
      <c r="Y75" s="159">
        <f>IF(X75&gt;0.005,X75*Debts!D13/12,0)</f>
        <v/>
      </c>
      <c r="Z75" s="159" t="n">
        <v>0</v>
      </c>
      <c r="AA75" s="152">
        <f>MAX(0,X75+Y75-Z75)</f>
        <v/>
      </c>
      <c r="AB75" s="152">
        <f>AE74</f>
        <v/>
      </c>
      <c r="AC75" s="159">
        <f>IF(AB75&gt;0.005,AB75*Debts!D14/12,0)</f>
        <v/>
      </c>
      <c r="AD75" s="159" t="n">
        <v>0</v>
      </c>
      <c r="AE75" s="152">
        <f>MAX(0,AB75+AC75-AD75)</f>
        <v/>
      </c>
      <c r="AF75" s="152">
        <f>AI74</f>
        <v/>
      </c>
      <c r="AG75" s="159">
        <f>IF(AF75&gt;0.005,AF75*Debts!D15/12,0)</f>
        <v/>
      </c>
      <c r="AH75" s="159" t="n">
        <v>0</v>
      </c>
      <c r="AI75" s="152">
        <f>MAX(0,AF75+AG75-AH75)</f>
        <v/>
      </c>
      <c r="AJ75" s="152">
        <f>AM74</f>
        <v/>
      </c>
      <c r="AK75" s="159">
        <f>IF(AJ75&gt;0.005,AJ75*Debts!D16/12,0)</f>
        <v/>
      </c>
      <c r="AL75" s="159" t="n">
        <v>0</v>
      </c>
      <c r="AM75" s="152">
        <f>MAX(0,AJ75+AK75-AL75)</f>
        <v/>
      </c>
      <c r="AN75" s="152">
        <f>AQ74</f>
        <v/>
      </c>
      <c r="AO75" s="159">
        <f>IF(AN75&gt;0.005,AN75*Debts!D17/12,0)</f>
        <v/>
      </c>
      <c r="AP75" s="159" t="n">
        <v>0</v>
      </c>
      <c r="AQ75" s="152">
        <f>MAX(0,AN75+AO75-AP75)</f>
        <v/>
      </c>
      <c r="AR75" s="152">
        <f>AU74</f>
        <v/>
      </c>
      <c r="AS75" s="159">
        <f>IF(AR75&gt;0.005,AR75*Debts!D18/12,0)</f>
        <v/>
      </c>
      <c r="AT75" s="159" t="n">
        <v>0</v>
      </c>
      <c r="AU75" s="152">
        <f>MAX(0,AR75+AS75-AT75)</f>
        <v/>
      </c>
      <c r="AV75" s="152">
        <f>AY74</f>
        <v/>
      </c>
      <c r="AW75" s="159">
        <f>IF(AV75&gt;0.005,AV75*Debts!D19/12,0)</f>
        <v/>
      </c>
      <c r="AX75" s="159" t="n">
        <v>0</v>
      </c>
      <c r="AY75" s="152">
        <f>MAX(0,AV75+AW75-AX75)</f>
        <v/>
      </c>
      <c r="AZ75" s="152">
        <f>BC74</f>
        <v/>
      </c>
      <c r="BA75" s="159">
        <f>IF(AZ75&gt;0.005,AZ75*Debts!D20/12,0)</f>
        <v/>
      </c>
      <c r="BB75" s="159" t="n">
        <v>0</v>
      </c>
      <c r="BC75" s="152">
        <f>MAX(0,AZ75+BA75-BB75)</f>
        <v/>
      </c>
      <c r="BD75" s="152">
        <f>BG74</f>
        <v/>
      </c>
      <c r="BE75" s="159">
        <f>IF(BD75&gt;0.005,BD75*Debts!D21/12,0)</f>
        <v/>
      </c>
      <c r="BF75" s="159" t="n">
        <v>0</v>
      </c>
      <c r="BG75" s="152">
        <f>MAX(0,BD75+BE75-BF75)</f>
        <v/>
      </c>
      <c r="BH75" s="152">
        <f>BK74</f>
        <v/>
      </c>
      <c r="BI75" s="159">
        <f>IF(BH75&gt;0.005,BH75*Debts!D22/12,0)</f>
        <v/>
      </c>
      <c r="BJ75" s="159" t="n">
        <v>0</v>
      </c>
      <c r="BK75" s="152">
        <f>MAX(0,BH75+BI75-BJ75)</f>
        <v/>
      </c>
      <c r="BL75" s="152">
        <f>BO74</f>
        <v/>
      </c>
      <c r="BM75" s="159">
        <f>IF(BL75&gt;0.005,BL75*Debts!D23/12,0)</f>
        <v/>
      </c>
      <c r="BN75" s="159" t="n">
        <v>0</v>
      </c>
      <c r="BO75" s="152">
        <f>MAX(0,BL75+BM75-BN75)</f>
        <v/>
      </c>
      <c r="BP75" s="152">
        <f>BS74</f>
        <v/>
      </c>
      <c r="BQ75" s="159">
        <f>IF(BP75&gt;0.005,BP75*Debts!D24/12,0)</f>
        <v/>
      </c>
      <c r="BR75" s="159" t="n">
        <v>0</v>
      </c>
      <c r="BS75" s="152">
        <f>MAX(0,BP75+BQ75-BR75)</f>
        <v/>
      </c>
      <c r="BT75" s="152">
        <f>BW74</f>
        <v/>
      </c>
      <c r="BU75" s="159">
        <f>IF(BT75&gt;0.005,BT75*Debts!D25/12,0)</f>
        <v/>
      </c>
      <c r="BV75" s="159" t="n">
        <v>0</v>
      </c>
      <c r="BW75" s="152">
        <f>MAX(0,BT75+BU75-BV75)</f>
        <v/>
      </c>
      <c r="BX75" s="152">
        <f>CA74</f>
        <v/>
      </c>
      <c r="BY75" s="159">
        <f>IF(BX75&gt;0.005,BX75*Debts!D26/12,0)</f>
        <v/>
      </c>
      <c r="BZ75" s="159" t="n">
        <v>0</v>
      </c>
      <c r="CA75" s="152">
        <f>MAX(0,BX75+BY75-BZ75)</f>
        <v/>
      </c>
      <c r="CB75" s="152">
        <f>CE74</f>
        <v/>
      </c>
      <c r="CC75" s="159">
        <f>IF(CB75&gt;0.005,CB75*Debts!D27/12,0)</f>
        <v/>
      </c>
      <c r="CD75" s="159" t="n">
        <v>0</v>
      </c>
      <c r="CE75" s="152">
        <f>MAX(0,CB75+CC75-CD75)</f>
        <v/>
      </c>
      <c r="CF75" s="152">
        <f>G75+K75+O75+S75+W75+AA75+AE75+AI75+AM75+AQ75+AU75+AY75+BC75+BG75+BK75+BO75+BS75+BW75+CA75+CE75</f>
        <v/>
      </c>
      <c r="CG75" s="159">
        <f>E75+I75+M75+Q75+U75+Y75+AC75+AG75+AK75+AO75+AS75+AW75+BA75+BE75+BI75+BM75+BQ75+BU75+BY75+CC75</f>
        <v/>
      </c>
      <c r="CH75" s="152">
        <f>CH74+CG75</f>
        <v/>
      </c>
      <c r="CI75" s="148" t="n"/>
      <c r="CJ75" s="148" t="n"/>
    </row>
    <row r="76" ht="15" customHeight="1" s="83">
      <c r="A76" s="148" t="n"/>
      <c r="B76" s="158" t="n">
        <v>72</v>
      </c>
      <c r="C76" s="152">
        <f>F76+J76+N76+R76+V76+Z76+AD76+AH76+AL76+AP76+AT76+AX76+BB76+BF76+BJ76+BN76+BR76+BV76+BZ76+CD76</f>
        <v/>
      </c>
      <c r="D76" s="152">
        <f>G75</f>
        <v/>
      </c>
      <c r="E76" s="159">
        <f>IF(D76&gt;0.005,D76*Debts!D8/12,0)</f>
        <v/>
      </c>
      <c r="F76" s="159" t="n">
        <v>0</v>
      </c>
      <c r="G76" s="152">
        <f>MAX(0,D76+E76-F76)</f>
        <v/>
      </c>
      <c r="H76" s="152">
        <f>K75</f>
        <v/>
      </c>
      <c r="I76" s="159">
        <f>IF(H76&gt;0.005,H76*Debts!D9/12,0)</f>
        <v/>
      </c>
      <c r="J76" s="159" t="n">
        <v>0</v>
      </c>
      <c r="K76" s="152">
        <f>MAX(0,H76+I76-J76)</f>
        <v/>
      </c>
      <c r="L76" s="152">
        <f>O75</f>
        <v/>
      </c>
      <c r="M76" s="159">
        <f>IF(L76&gt;0.005,L76*Debts!D10/12,0)</f>
        <v/>
      </c>
      <c r="N76" s="159" t="n">
        <v>0</v>
      </c>
      <c r="O76" s="152">
        <f>MAX(0,L76+M76-N76)</f>
        <v/>
      </c>
      <c r="P76" s="152">
        <f>S75</f>
        <v/>
      </c>
      <c r="Q76" s="159">
        <f>IF(P76&gt;0.005,P76*Debts!D11/12,0)</f>
        <v/>
      </c>
      <c r="R76" s="159" t="n">
        <v>0</v>
      </c>
      <c r="S76" s="152">
        <f>MAX(0,P76+Q76-R76)</f>
        <v/>
      </c>
      <c r="T76" s="152">
        <f>W75</f>
        <v/>
      </c>
      <c r="U76" s="159">
        <f>IF(T76&gt;0.005,T76*Debts!D12/12,0)</f>
        <v/>
      </c>
      <c r="V76" s="159" t="n">
        <v>0</v>
      </c>
      <c r="W76" s="152">
        <f>MAX(0,T76+U76-V76)</f>
        <v/>
      </c>
      <c r="X76" s="152">
        <f>AA75</f>
        <v/>
      </c>
      <c r="Y76" s="159">
        <f>IF(X76&gt;0.005,X76*Debts!D13/12,0)</f>
        <v/>
      </c>
      <c r="Z76" s="159" t="n">
        <v>0</v>
      </c>
      <c r="AA76" s="152">
        <f>MAX(0,X76+Y76-Z76)</f>
        <v/>
      </c>
      <c r="AB76" s="152">
        <f>AE75</f>
        <v/>
      </c>
      <c r="AC76" s="159">
        <f>IF(AB76&gt;0.005,AB76*Debts!D14/12,0)</f>
        <v/>
      </c>
      <c r="AD76" s="159" t="n">
        <v>0</v>
      </c>
      <c r="AE76" s="152">
        <f>MAX(0,AB76+AC76-AD76)</f>
        <v/>
      </c>
      <c r="AF76" s="152">
        <f>AI75</f>
        <v/>
      </c>
      <c r="AG76" s="159">
        <f>IF(AF76&gt;0.005,AF76*Debts!D15/12,0)</f>
        <v/>
      </c>
      <c r="AH76" s="159" t="n">
        <v>0</v>
      </c>
      <c r="AI76" s="152">
        <f>MAX(0,AF76+AG76-AH76)</f>
        <v/>
      </c>
      <c r="AJ76" s="152">
        <f>AM75</f>
        <v/>
      </c>
      <c r="AK76" s="159">
        <f>IF(AJ76&gt;0.005,AJ76*Debts!D16/12,0)</f>
        <v/>
      </c>
      <c r="AL76" s="159" t="n">
        <v>0</v>
      </c>
      <c r="AM76" s="152">
        <f>MAX(0,AJ76+AK76-AL76)</f>
        <v/>
      </c>
      <c r="AN76" s="152">
        <f>AQ75</f>
        <v/>
      </c>
      <c r="AO76" s="159">
        <f>IF(AN76&gt;0.005,AN76*Debts!D17/12,0)</f>
        <v/>
      </c>
      <c r="AP76" s="159" t="n">
        <v>0</v>
      </c>
      <c r="AQ76" s="152">
        <f>MAX(0,AN76+AO76-AP76)</f>
        <v/>
      </c>
      <c r="AR76" s="152">
        <f>AU75</f>
        <v/>
      </c>
      <c r="AS76" s="159">
        <f>IF(AR76&gt;0.005,AR76*Debts!D18/12,0)</f>
        <v/>
      </c>
      <c r="AT76" s="159" t="n">
        <v>0</v>
      </c>
      <c r="AU76" s="152">
        <f>MAX(0,AR76+AS76-AT76)</f>
        <v/>
      </c>
      <c r="AV76" s="152">
        <f>AY75</f>
        <v/>
      </c>
      <c r="AW76" s="159">
        <f>IF(AV76&gt;0.005,AV76*Debts!D19/12,0)</f>
        <v/>
      </c>
      <c r="AX76" s="159" t="n">
        <v>0</v>
      </c>
      <c r="AY76" s="152">
        <f>MAX(0,AV76+AW76-AX76)</f>
        <v/>
      </c>
      <c r="AZ76" s="152">
        <f>BC75</f>
        <v/>
      </c>
      <c r="BA76" s="159">
        <f>IF(AZ76&gt;0.005,AZ76*Debts!D20/12,0)</f>
        <v/>
      </c>
      <c r="BB76" s="159" t="n">
        <v>0</v>
      </c>
      <c r="BC76" s="152">
        <f>MAX(0,AZ76+BA76-BB76)</f>
        <v/>
      </c>
      <c r="BD76" s="152">
        <f>BG75</f>
        <v/>
      </c>
      <c r="BE76" s="159">
        <f>IF(BD76&gt;0.005,BD76*Debts!D21/12,0)</f>
        <v/>
      </c>
      <c r="BF76" s="159" t="n">
        <v>0</v>
      </c>
      <c r="BG76" s="152">
        <f>MAX(0,BD76+BE76-BF76)</f>
        <v/>
      </c>
      <c r="BH76" s="152">
        <f>BK75</f>
        <v/>
      </c>
      <c r="BI76" s="159">
        <f>IF(BH76&gt;0.005,BH76*Debts!D22/12,0)</f>
        <v/>
      </c>
      <c r="BJ76" s="159" t="n">
        <v>0</v>
      </c>
      <c r="BK76" s="152">
        <f>MAX(0,BH76+BI76-BJ76)</f>
        <v/>
      </c>
      <c r="BL76" s="152">
        <f>BO75</f>
        <v/>
      </c>
      <c r="BM76" s="159">
        <f>IF(BL76&gt;0.005,BL76*Debts!D23/12,0)</f>
        <v/>
      </c>
      <c r="BN76" s="159" t="n">
        <v>0</v>
      </c>
      <c r="BO76" s="152">
        <f>MAX(0,BL76+BM76-BN76)</f>
        <v/>
      </c>
      <c r="BP76" s="152">
        <f>BS75</f>
        <v/>
      </c>
      <c r="BQ76" s="159">
        <f>IF(BP76&gt;0.005,BP76*Debts!D24/12,0)</f>
        <v/>
      </c>
      <c r="BR76" s="159" t="n">
        <v>0</v>
      </c>
      <c r="BS76" s="152">
        <f>MAX(0,BP76+BQ76-BR76)</f>
        <v/>
      </c>
      <c r="BT76" s="152">
        <f>BW75</f>
        <v/>
      </c>
      <c r="BU76" s="159">
        <f>IF(BT76&gt;0.005,BT76*Debts!D25/12,0)</f>
        <v/>
      </c>
      <c r="BV76" s="159" t="n">
        <v>0</v>
      </c>
      <c r="BW76" s="152">
        <f>MAX(0,BT76+BU76-BV76)</f>
        <v/>
      </c>
      <c r="BX76" s="152">
        <f>CA75</f>
        <v/>
      </c>
      <c r="BY76" s="159">
        <f>IF(BX76&gt;0.005,BX76*Debts!D26/12,0)</f>
        <v/>
      </c>
      <c r="BZ76" s="159" t="n">
        <v>0</v>
      </c>
      <c r="CA76" s="152">
        <f>MAX(0,BX76+BY76-BZ76)</f>
        <v/>
      </c>
      <c r="CB76" s="152">
        <f>CE75</f>
        <v/>
      </c>
      <c r="CC76" s="159">
        <f>IF(CB76&gt;0.005,CB76*Debts!D27/12,0)</f>
        <v/>
      </c>
      <c r="CD76" s="159" t="n">
        <v>0</v>
      </c>
      <c r="CE76" s="152">
        <f>MAX(0,CB76+CC76-CD76)</f>
        <v/>
      </c>
      <c r="CF76" s="152">
        <f>G76+K76+O76+S76+W76+AA76+AE76+AI76+AM76+AQ76+AU76+AY76+BC76+BG76+BK76+BO76+BS76+BW76+CA76+CE76</f>
        <v/>
      </c>
      <c r="CG76" s="159">
        <f>E76+I76+M76+Q76+U76+Y76+AC76+AG76+AK76+AO76+AS76+AW76+BA76+BE76+BI76+BM76+BQ76+BU76+BY76+CC76</f>
        <v/>
      </c>
      <c r="CH76" s="152">
        <f>CH75+CG76</f>
        <v/>
      </c>
      <c r="CI76" s="148" t="n"/>
      <c r="CJ76" s="148" t="n"/>
    </row>
    <row r="77" ht="15" customHeight="1" s="83">
      <c r="A77" s="148" t="n"/>
      <c r="B77" s="158" t="n">
        <v>73</v>
      </c>
      <c r="C77" s="152">
        <f>F77+J77+N77+R77+V77+Z77+AD77+AH77+AL77+AP77+AT77+AX77+BB77+BF77+BJ77+BN77+BR77+BV77+BZ77+CD77</f>
        <v/>
      </c>
      <c r="D77" s="152">
        <f>G76</f>
        <v/>
      </c>
      <c r="E77" s="159">
        <f>IF(D77&gt;0.005,D77*Debts!D8/12,0)</f>
        <v/>
      </c>
      <c r="F77" s="159" t="n">
        <v>0</v>
      </c>
      <c r="G77" s="152">
        <f>MAX(0,D77+E77-F77)</f>
        <v/>
      </c>
      <c r="H77" s="152">
        <f>K76</f>
        <v/>
      </c>
      <c r="I77" s="159">
        <f>IF(H77&gt;0.005,H77*Debts!D9/12,0)</f>
        <v/>
      </c>
      <c r="J77" s="159" t="n">
        <v>0</v>
      </c>
      <c r="K77" s="152">
        <f>MAX(0,H77+I77-J77)</f>
        <v/>
      </c>
      <c r="L77" s="152">
        <f>O76</f>
        <v/>
      </c>
      <c r="M77" s="159">
        <f>IF(L77&gt;0.005,L77*Debts!D10/12,0)</f>
        <v/>
      </c>
      <c r="N77" s="159" t="n">
        <v>0</v>
      </c>
      <c r="O77" s="152">
        <f>MAX(0,L77+M77-N77)</f>
        <v/>
      </c>
      <c r="P77" s="152">
        <f>S76</f>
        <v/>
      </c>
      <c r="Q77" s="159">
        <f>IF(P77&gt;0.005,P77*Debts!D11/12,0)</f>
        <v/>
      </c>
      <c r="R77" s="159" t="n">
        <v>0</v>
      </c>
      <c r="S77" s="152">
        <f>MAX(0,P77+Q77-R77)</f>
        <v/>
      </c>
      <c r="T77" s="152">
        <f>W76</f>
        <v/>
      </c>
      <c r="U77" s="159">
        <f>IF(T77&gt;0.005,T77*Debts!D12/12,0)</f>
        <v/>
      </c>
      <c r="V77" s="159" t="n">
        <v>0</v>
      </c>
      <c r="W77" s="152">
        <f>MAX(0,T77+U77-V77)</f>
        <v/>
      </c>
      <c r="X77" s="152">
        <f>AA76</f>
        <v/>
      </c>
      <c r="Y77" s="159">
        <f>IF(X77&gt;0.005,X77*Debts!D13/12,0)</f>
        <v/>
      </c>
      <c r="Z77" s="159" t="n">
        <v>0</v>
      </c>
      <c r="AA77" s="152">
        <f>MAX(0,X77+Y77-Z77)</f>
        <v/>
      </c>
      <c r="AB77" s="152">
        <f>AE76</f>
        <v/>
      </c>
      <c r="AC77" s="159">
        <f>IF(AB77&gt;0.005,AB77*Debts!D14/12,0)</f>
        <v/>
      </c>
      <c r="AD77" s="159" t="n">
        <v>0</v>
      </c>
      <c r="AE77" s="152">
        <f>MAX(0,AB77+AC77-AD77)</f>
        <v/>
      </c>
      <c r="AF77" s="152">
        <f>AI76</f>
        <v/>
      </c>
      <c r="AG77" s="159">
        <f>IF(AF77&gt;0.005,AF77*Debts!D15/12,0)</f>
        <v/>
      </c>
      <c r="AH77" s="159" t="n">
        <v>0</v>
      </c>
      <c r="AI77" s="152">
        <f>MAX(0,AF77+AG77-AH77)</f>
        <v/>
      </c>
      <c r="AJ77" s="152">
        <f>AM76</f>
        <v/>
      </c>
      <c r="AK77" s="159">
        <f>IF(AJ77&gt;0.005,AJ77*Debts!D16/12,0)</f>
        <v/>
      </c>
      <c r="AL77" s="159" t="n">
        <v>0</v>
      </c>
      <c r="AM77" s="152">
        <f>MAX(0,AJ77+AK77-AL77)</f>
        <v/>
      </c>
      <c r="AN77" s="152">
        <f>AQ76</f>
        <v/>
      </c>
      <c r="AO77" s="159">
        <f>IF(AN77&gt;0.005,AN77*Debts!D17/12,0)</f>
        <v/>
      </c>
      <c r="AP77" s="159" t="n">
        <v>0</v>
      </c>
      <c r="AQ77" s="152">
        <f>MAX(0,AN77+AO77-AP77)</f>
        <v/>
      </c>
      <c r="AR77" s="152">
        <f>AU76</f>
        <v/>
      </c>
      <c r="AS77" s="159">
        <f>IF(AR77&gt;0.005,AR77*Debts!D18/12,0)</f>
        <v/>
      </c>
      <c r="AT77" s="159" t="n">
        <v>0</v>
      </c>
      <c r="AU77" s="152">
        <f>MAX(0,AR77+AS77-AT77)</f>
        <v/>
      </c>
      <c r="AV77" s="152">
        <f>AY76</f>
        <v/>
      </c>
      <c r="AW77" s="159">
        <f>IF(AV77&gt;0.005,AV77*Debts!D19/12,0)</f>
        <v/>
      </c>
      <c r="AX77" s="159" t="n">
        <v>0</v>
      </c>
      <c r="AY77" s="152">
        <f>MAX(0,AV77+AW77-AX77)</f>
        <v/>
      </c>
      <c r="AZ77" s="152">
        <f>BC76</f>
        <v/>
      </c>
      <c r="BA77" s="159">
        <f>IF(AZ77&gt;0.005,AZ77*Debts!D20/12,0)</f>
        <v/>
      </c>
      <c r="BB77" s="159" t="n">
        <v>0</v>
      </c>
      <c r="BC77" s="152">
        <f>MAX(0,AZ77+BA77-BB77)</f>
        <v/>
      </c>
      <c r="BD77" s="152">
        <f>BG76</f>
        <v/>
      </c>
      <c r="BE77" s="159">
        <f>IF(BD77&gt;0.005,BD77*Debts!D21/12,0)</f>
        <v/>
      </c>
      <c r="BF77" s="159" t="n">
        <v>0</v>
      </c>
      <c r="BG77" s="152">
        <f>MAX(0,BD77+BE77-BF77)</f>
        <v/>
      </c>
      <c r="BH77" s="152">
        <f>BK76</f>
        <v/>
      </c>
      <c r="BI77" s="159">
        <f>IF(BH77&gt;0.005,BH77*Debts!D22/12,0)</f>
        <v/>
      </c>
      <c r="BJ77" s="159" t="n">
        <v>0</v>
      </c>
      <c r="BK77" s="152">
        <f>MAX(0,BH77+BI77-BJ77)</f>
        <v/>
      </c>
      <c r="BL77" s="152">
        <f>BO76</f>
        <v/>
      </c>
      <c r="BM77" s="159">
        <f>IF(BL77&gt;0.005,BL77*Debts!D23/12,0)</f>
        <v/>
      </c>
      <c r="BN77" s="159" t="n">
        <v>0</v>
      </c>
      <c r="BO77" s="152">
        <f>MAX(0,BL77+BM77-BN77)</f>
        <v/>
      </c>
      <c r="BP77" s="152">
        <f>BS76</f>
        <v/>
      </c>
      <c r="BQ77" s="159">
        <f>IF(BP77&gt;0.005,BP77*Debts!D24/12,0)</f>
        <v/>
      </c>
      <c r="BR77" s="159" t="n">
        <v>0</v>
      </c>
      <c r="BS77" s="152">
        <f>MAX(0,BP77+BQ77-BR77)</f>
        <v/>
      </c>
      <c r="BT77" s="152">
        <f>BW76</f>
        <v/>
      </c>
      <c r="BU77" s="159">
        <f>IF(BT77&gt;0.005,BT77*Debts!D25/12,0)</f>
        <v/>
      </c>
      <c r="BV77" s="159" t="n">
        <v>0</v>
      </c>
      <c r="BW77" s="152">
        <f>MAX(0,BT77+BU77-BV77)</f>
        <v/>
      </c>
      <c r="BX77" s="152">
        <f>CA76</f>
        <v/>
      </c>
      <c r="BY77" s="159">
        <f>IF(BX77&gt;0.005,BX77*Debts!D26/12,0)</f>
        <v/>
      </c>
      <c r="BZ77" s="159" t="n">
        <v>0</v>
      </c>
      <c r="CA77" s="152">
        <f>MAX(0,BX77+BY77-BZ77)</f>
        <v/>
      </c>
      <c r="CB77" s="152">
        <f>CE76</f>
        <v/>
      </c>
      <c r="CC77" s="159">
        <f>IF(CB77&gt;0.005,CB77*Debts!D27/12,0)</f>
        <v/>
      </c>
      <c r="CD77" s="159" t="n">
        <v>0</v>
      </c>
      <c r="CE77" s="152">
        <f>MAX(0,CB77+CC77-CD77)</f>
        <v/>
      </c>
      <c r="CF77" s="152">
        <f>G77+K77+O77+S77+W77+AA77+AE77+AI77+AM77+AQ77+AU77+AY77+BC77+BG77+BK77+BO77+BS77+BW77+CA77+CE77</f>
        <v/>
      </c>
      <c r="CG77" s="159">
        <f>E77+I77+M77+Q77+U77+Y77+AC77+AG77+AK77+AO77+AS77+AW77+BA77+BE77+BI77+BM77+BQ77+BU77+BY77+CC77</f>
        <v/>
      </c>
      <c r="CH77" s="152">
        <f>CH76+CG77</f>
        <v/>
      </c>
      <c r="CI77" s="148" t="n"/>
      <c r="CJ77" s="148" t="n"/>
    </row>
    <row r="78" ht="15" customHeight="1" s="83">
      <c r="A78" s="148" t="n"/>
      <c r="B78" s="158" t="n">
        <v>74</v>
      </c>
      <c r="C78" s="152">
        <f>F78+J78+N78+R78+V78+Z78+AD78+AH78+AL78+AP78+AT78+AX78+BB78+BF78+BJ78+BN78+BR78+BV78+BZ78+CD78</f>
        <v/>
      </c>
      <c r="D78" s="152">
        <f>G77</f>
        <v/>
      </c>
      <c r="E78" s="159">
        <f>IF(D78&gt;0.005,D78*Debts!D8/12,0)</f>
        <v/>
      </c>
      <c r="F78" s="159" t="n">
        <v>0</v>
      </c>
      <c r="G78" s="152">
        <f>MAX(0,D78+E78-F78)</f>
        <v/>
      </c>
      <c r="H78" s="152">
        <f>K77</f>
        <v/>
      </c>
      <c r="I78" s="159">
        <f>IF(H78&gt;0.005,H78*Debts!D9/12,0)</f>
        <v/>
      </c>
      <c r="J78" s="159" t="n">
        <v>0</v>
      </c>
      <c r="K78" s="152">
        <f>MAX(0,H78+I78-J78)</f>
        <v/>
      </c>
      <c r="L78" s="152">
        <f>O77</f>
        <v/>
      </c>
      <c r="M78" s="159">
        <f>IF(L78&gt;0.005,L78*Debts!D10/12,0)</f>
        <v/>
      </c>
      <c r="N78" s="159" t="n">
        <v>0</v>
      </c>
      <c r="O78" s="152">
        <f>MAX(0,L78+M78-N78)</f>
        <v/>
      </c>
      <c r="P78" s="152">
        <f>S77</f>
        <v/>
      </c>
      <c r="Q78" s="159">
        <f>IF(P78&gt;0.005,P78*Debts!D11/12,0)</f>
        <v/>
      </c>
      <c r="R78" s="159" t="n">
        <v>0</v>
      </c>
      <c r="S78" s="152">
        <f>MAX(0,P78+Q78-R78)</f>
        <v/>
      </c>
      <c r="T78" s="152">
        <f>W77</f>
        <v/>
      </c>
      <c r="U78" s="159">
        <f>IF(T78&gt;0.005,T78*Debts!D12/12,0)</f>
        <v/>
      </c>
      <c r="V78" s="159" t="n">
        <v>0</v>
      </c>
      <c r="W78" s="152">
        <f>MAX(0,T78+U78-V78)</f>
        <v/>
      </c>
      <c r="X78" s="152">
        <f>AA77</f>
        <v/>
      </c>
      <c r="Y78" s="159">
        <f>IF(X78&gt;0.005,X78*Debts!D13/12,0)</f>
        <v/>
      </c>
      <c r="Z78" s="159" t="n">
        <v>0</v>
      </c>
      <c r="AA78" s="152">
        <f>MAX(0,X78+Y78-Z78)</f>
        <v/>
      </c>
      <c r="AB78" s="152">
        <f>AE77</f>
        <v/>
      </c>
      <c r="AC78" s="159">
        <f>IF(AB78&gt;0.005,AB78*Debts!D14/12,0)</f>
        <v/>
      </c>
      <c r="AD78" s="159" t="n">
        <v>0</v>
      </c>
      <c r="AE78" s="152">
        <f>MAX(0,AB78+AC78-AD78)</f>
        <v/>
      </c>
      <c r="AF78" s="152">
        <f>AI77</f>
        <v/>
      </c>
      <c r="AG78" s="159">
        <f>IF(AF78&gt;0.005,AF78*Debts!D15/12,0)</f>
        <v/>
      </c>
      <c r="AH78" s="159" t="n">
        <v>0</v>
      </c>
      <c r="AI78" s="152">
        <f>MAX(0,AF78+AG78-AH78)</f>
        <v/>
      </c>
      <c r="AJ78" s="152">
        <f>AM77</f>
        <v/>
      </c>
      <c r="AK78" s="159">
        <f>IF(AJ78&gt;0.005,AJ78*Debts!D16/12,0)</f>
        <v/>
      </c>
      <c r="AL78" s="159" t="n">
        <v>0</v>
      </c>
      <c r="AM78" s="152">
        <f>MAX(0,AJ78+AK78-AL78)</f>
        <v/>
      </c>
      <c r="AN78" s="152">
        <f>AQ77</f>
        <v/>
      </c>
      <c r="AO78" s="159">
        <f>IF(AN78&gt;0.005,AN78*Debts!D17/12,0)</f>
        <v/>
      </c>
      <c r="AP78" s="159" t="n">
        <v>0</v>
      </c>
      <c r="AQ78" s="152">
        <f>MAX(0,AN78+AO78-AP78)</f>
        <v/>
      </c>
      <c r="AR78" s="152">
        <f>AU77</f>
        <v/>
      </c>
      <c r="AS78" s="159">
        <f>IF(AR78&gt;0.005,AR78*Debts!D18/12,0)</f>
        <v/>
      </c>
      <c r="AT78" s="159" t="n">
        <v>0</v>
      </c>
      <c r="AU78" s="152">
        <f>MAX(0,AR78+AS78-AT78)</f>
        <v/>
      </c>
      <c r="AV78" s="152">
        <f>AY77</f>
        <v/>
      </c>
      <c r="AW78" s="159">
        <f>IF(AV78&gt;0.005,AV78*Debts!D19/12,0)</f>
        <v/>
      </c>
      <c r="AX78" s="159" t="n">
        <v>0</v>
      </c>
      <c r="AY78" s="152">
        <f>MAX(0,AV78+AW78-AX78)</f>
        <v/>
      </c>
      <c r="AZ78" s="152">
        <f>BC77</f>
        <v/>
      </c>
      <c r="BA78" s="159">
        <f>IF(AZ78&gt;0.005,AZ78*Debts!D20/12,0)</f>
        <v/>
      </c>
      <c r="BB78" s="159" t="n">
        <v>0</v>
      </c>
      <c r="BC78" s="152">
        <f>MAX(0,AZ78+BA78-BB78)</f>
        <v/>
      </c>
      <c r="BD78" s="152">
        <f>BG77</f>
        <v/>
      </c>
      <c r="BE78" s="159">
        <f>IF(BD78&gt;0.005,BD78*Debts!D21/12,0)</f>
        <v/>
      </c>
      <c r="BF78" s="159" t="n">
        <v>0</v>
      </c>
      <c r="BG78" s="152">
        <f>MAX(0,BD78+BE78-BF78)</f>
        <v/>
      </c>
      <c r="BH78" s="152">
        <f>BK77</f>
        <v/>
      </c>
      <c r="BI78" s="159">
        <f>IF(BH78&gt;0.005,BH78*Debts!D22/12,0)</f>
        <v/>
      </c>
      <c r="BJ78" s="159" t="n">
        <v>0</v>
      </c>
      <c r="BK78" s="152">
        <f>MAX(0,BH78+BI78-BJ78)</f>
        <v/>
      </c>
      <c r="BL78" s="152">
        <f>BO77</f>
        <v/>
      </c>
      <c r="BM78" s="159">
        <f>IF(BL78&gt;0.005,BL78*Debts!D23/12,0)</f>
        <v/>
      </c>
      <c r="BN78" s="159" t="n">
        <v>0</v>
      </c>
      <c r="BO78" s="152">
        <f>MAX(0,BL78+BM78-BN78)</f>
        <v/>
      </c>
      <c r="BP78" s="152">
        <f>BS77</f>
        <v/>
      </c>
      <c r="BQ78" s="159">
        <f>IF(BP78&gt;0.005,BP78*Debts!D24/12,0)</f>
        <v/>
      </c>
      <c r="BR78" s="159" t="n">
        <v>0</v>
      </c>
      <c r="BS78" s="152">
        <f>MAX(0,BP78+BQ78-BR78)</f>
        <v/>
      </c>
      <c r="BT78" s="152">
        <f>BW77</f>
        <v/>
      </c>
      <c r="BU78" s="159">
        <f>IF(BT78&gt;0.005,BT78*Debts!D25/12,0)</f>
        <v/>
      </c>
      <c r="BV78" s="159" t="n">
        <v>0</v>
      </c>
      <c r="BW78" s="152">
        <f>MAX(0,BT78+BU78-BV78)</f>
        <v/>
      </c>
      <c r="BX78" s="152">
        <f>CA77</f>
        <v/>
      </c>
      <c r="BY78" s="159">
        <f>IF(BX78&gt;0.005,BX78*Debts!D26/12,0)</f>
        <v/>
      </c>
      <c r="BZ78" s="159" t="n">
        <v>0</v>
      </c>
      <c r="CA78" s="152">
        <f>MAX(0,BX78+BY78-BZ78)</f>
        <v/>
      </c>
      <c r="CB78" s="152">
        <f>CE77</f>
        <v/>
      </c>
      <c r="CC78" s="159">
        <f>IF(CB78&gt;0.005,CB78*Debts!D27/12,0)</f>
        <v/>
      </c>
      <c r="CD78" s="159" t="n">
        <v>0</v>
      </c>
      <c r="CE78" s="152">
        <f>MAX(0,CB78+CC78-CD78)</f>
        <v/>
      </c>
      <c r="CF78" s="152">
        <f>G78+K78+O78+S78+W78+AA78+AE78+AI78+AM78+AQ78+AU78+AY78+BC78+BG78+BK78+BO78+BS78+BW78+CA78+CE78</f>
        <v/>
      </c>
      <c r="CG78" s="159">
        <f>E78+I78+M78+Q78+U78+Y78+AC78+AG78+AK78+AO78+AS78+AW78+BA78+BE78+BI78+BM78+BQ78+BU78+BY78+CC78</f>
        <v/>
      </c>
      <c r="CH78" s="152">
        <f>CH77+CG78</f>
        <v/>
      </c>
      <c r="CI78" s="148" t="n"/>
      <c r="CJ78" s="148" t="n"/>
    </row>
    <row r="79" ht="15" customHeight="1" s="83">
      <c r="A79" s="148" t="n"/>
      <c r="B79" s="158" t="n">
        <v>75</v>
      </c>
      <c r="C79" s="152">
        <f>F79+J79+N79+R79+V79+Z79+AD79+AH79+AL79+AP79+AT79+AX79+BB79+BF79+BJ79+BN79+BR79+BV79+BZ79+CD79</f>
        <v/>
      </c>
      <c r="D79" s="152">
        <f>G78</f>
        <v/>
      </c>
      <c r="E79" s="159">
        <f>IF(D79&gt;0.005,D79*Debts!D8/12,0)</f>
        <v/>
      </c>
      <c r="F79" s="159" t="n">
        <v>0</v>
      </c>
      <c r="G79" s="152">
        <f>MAX(0,D79+E79-F79)</f>
        <v/>
      </c>
      <c r="H79" s="152">
        <f>K78</f>
        <v/>
      </c>
      <c r="I79" s="159">
        <f>IF(H79&gt;0.005,H79*Debts!D9/12,0)</f>
        <v/>
      </c>
      <c r="J79" s="159" t="n">
        <v>0</v>
      </c>
      <c r="K79" s="152">
        <f>MAX(0,H79+I79-J79)</f>
        <v/>
      </c>
      <c r="L79" s="152">
        <f>O78</f>
        <v/>
      </c>
      <c r="M79" s="159">
        <f>IF(L79&gt;0.005,L79*Debts!D10/12,0)</f>
        <v/>
      </c>
      <c r="N79" s="159" t="n">
        <v>0</v>
      </c>
      <c r="O79" s="152">
        <f>MAX(0,L79+M79-N79)</f>
        <v/>
      </c>
      <c r="P79" s="152">
        <f>S78</f>
        <v/>
      </c>
      <c r="Q79" s="159">
        <f>IF(P79&gt;0.005,P79*Debts!D11/12,0)</f>
        <v/>
      </c>
      <c r="R79" s="159" t="n">
        <v>0</v>
      </c>
      <c r="S79" s="152">
        <f>MAX(0,P79+Q79-R79)</f>
        <v/>
      </c>
      <c r="T79" s="152">
        <f>W78</f>
        <v/>
      </c>
      <c r="U79" s="159">
        <f>IF(T79&gt;0.005,T79*Debts!D12/12,0)</f>
        <v/>
      </c>
      <c r="V79" s="159" t="n">
        <v>0</v>
      </c>
      <c r="W79" s="152">
        <f>MAX(0,T79+U79-V79)</f>
        <v/>
      </c>
      <c r="X79" s="152">
        <f>AA78</f>
        <v/>
      </c>
      <c r="Y79" s="159">
        <f>IF(X79&gt;0.005,X79*Debts!D13/12,0)</f>
        <v/>
      </c>
      <c r="Z79" s="159" t="n">
        <v>0</v>
      </c>
      <c r="AA79" s="152">
        <f>MAX(0,X79+Y79-Z79)</f>
        <v/>
      </c>
      <c r="AB79" s="152">
        <f>AE78</f>
        <v/>
      </c>
      <c r="AC79" s="159">
        <f>IF(AB79&gt;0.005,AB79*Debts!D14/12,0)</f>
        <v/>
      </c>
      <c r="AD79" s="159" t="n">
        <v>0</v>
      </c>
      <c r="AE79" s="152">
        <f>MAX(0,AB79+AC79-AD79)</f>
        <v/>
      </c>
      <c r="AF79" s="152">
        <f>AI78</f>
        <v/>
      </c>
      <c r="AG79" s="159">
        <f>IF(AF79&gt;0.005,AF79*Debts!D15/12,0)</f>
        <v/>
      </c>
      <c r="AH79" s="159" t="n">
        <v>0</v>
      </c>
      <c r="AI79" s="152">
        <f>MAX(0,AF79+AG79-AH79)</f>
        <v/>
      </c>
      <c r="AJ79" s="152">
        <f>AM78</f>
        <v/>
      </c>
      <c r="AK79" s="159">
        <f>IF(AJ79&gt;0.005,AJ79*Debts!D16/12,0)</f>
        <v/>
      </c>
      <c r="AL79" s="159" t="n">
        <v>0</v>
      </c>
      <c r="AM79" s="152">
        <f>MAX(0,AJ79+AK79-AL79)</f>
        <v/>
      </c>
      <c r="AN79" s="152">
        <f>AQ78</f>
        <v/>
      </c>
      <c r="AO79" s="159">
        <f>IF(AN79&gt;0.005,AN79*Debts!D17/12,0)</f>
        <v/>
      </c>
      <c r="AP79" s="159" t="n">
        <v>0</v>
      </c>
      <c r="AQ79" s="152">
        <f>MAX(0,AN79+AO79-AP79)</f>
        <v/>
      </c>
      <c r="AR79" s="152">
        <f>AU78</f>
        <v/>
      </c>
      <c r="AS79" s="159">
        <f>IF(AR79&gt;0.005,AR79*Debts!D18/12,0)</f>
        <v/>
      </c>
      <c r="AT79" s="159" t="n">
        <v>0</v>
      </c>
      <c r="AU79" s="152">
        <f>MAX(0,AR79+AS79-AT79)</f>
        <v/>
      </c>
      <c r="AV79" s="152">
        <f>AY78</f>
        <v/>
      </c>
      <c r="AW79" s="159">
        <f>IF(AV79&gt;0.005,AV79*Debts!D19/12,0)</f>
        <v/>
      </c>
      <c r="AX79" s="159" t="n">
        <v>0</v>
      </c>
      <c r="AY79" s="152">
        <f>MAX(0,AV79+AW79-AX79)</f>
        <v/>
      </c>
      <c r="AZ79" s="152">
        <f>BC78</f>
        <v/>
      </c>
      <c r="BA79" s="159">
        <f>IF(AZ79&gt;0.005,AZ79*Debts!D20/12,0)</f>
        <v/>
      </c>
      <c r="BB79" s="159" t="n">
        <v>0</v>
      </c>
      <c r="BC79" s="152">
        <f>MAX(0,AZ79+BA79-BB79)</f>
        <v/>
      </c>
      <c r="BD79" s="152">
        <f>BG78</f>
        <v/>
      </c>
      <c r="BE79" s="159">
        <f>IF(BD79&gt;0.005,BD79*Debts!D21/12,0)</f>
        <v/>
      </c>
      <c r="BF79" s="159" t="n">
        <v>0</v>
      </c>
      <c r="BG79" s="152">
        <f>MAX(0,BD79+BE79-BF79)</f>
        <v/>
      </c>
      <c r="BH79" s="152">
        <f>BK78</f>
        <v/>
      </c>
      <c r="BI79" s="159">
        <f>IF(BH79&gt;0.005,BH79*Debts!D22/12,0)</f>
        <v/>
      </c>
      <c r="BJ79" s="159" t="n">
        <v>0</v>
      </c>
      <c r="BK79" s="152">
        <f>MAX(0,BH79+BI79-BJ79)</f>
        <v/>
      </c>
      <c r="BL79" s="152">
        <f>BO78</f>
        <v/>
      </c>
      <c r="BM79" s="159">
        <f>IF(BL79&gt;0.005,BL79*Debts!D23/12,0)</f>
        <v/>
      </c>
      <c r="BN79" s="159" t="n">
        <v>0</v>
      </c>
      <c r="BO79" s="152">
        <f>MAX(0,BL79+BM79-BN79)</f>
        <v/>
      </c>
      <c r="BP79" s="152">
        <f>BS78</f>
        <v/>
      </c>
      <c r="BQ79" s="159">
        <f>IF(BP79&gt;0.005,BP79*Debts!D24/12,0)</f>
        <v/>
      </c>
      <c r="BR79" s="159" t="n">
        <v>0</v>
      </c>
      <c r="BS79" s="152">
        <f>MAX(0,BP79+BQ79-BR79)</f>
        <v/>
      </c>
      <c r="BT79" s="152">
        <f>BW78</f>
        <v/>
      </c>
      <c r="BU79" s="159">
        <f>IF(BT79&gt;0.005,BT79*Debts!D25/12,0)</f>
        <v/>
      </c>
      <c r="BV79" s="159" t="n">
        <v>0</v>
      </c>
      <c r="BW79" s="152">
        <f>MAX(0,BT79+BU79-BV79)</f>
        <v/>
      </c>
      <c r="BX79" s="152">
        <f>CA78</f>
        <v/>
      </c>
      <c r="BY79" s="159">
        <f>IF(BX79&gt;0.005,BX79*Debts!D26/12,0)</f>
        <v/>
      </c>
      <c r="BZ79" s="159" t="n">
        <v>0</v>
      </c>
      <c r="CA79" s="152">
        <f>MAX(0,BX79+BY79-BZ79)</f>
        <v/>
      </c>
      <c r="CB79" s="152">
        <f>CE78</f>
        <v/>
      </c>
      <c r="CC79" s="159">
        <f>IF(CB79&gt;0.005,CB79*Debts!D27/12,0)</f>
        <v/>
      </c>
      <c r="CD79" s="159" t="n">
        <v>0</v>
      </c>
      <c r="CE79" s="152">
        <f>MAX(0,CB79+CC79-CD79)</f>
        <v/>
      </c>
      <c r="CF79" s="152">
        <f>G79+K79+O79+S79+W79+AA79+AE79+AI79+AM79+AQ79+AU79+AY79+BC79+BG79+BK79+BO79+BS79+BW79+CA79+CE79</f>
        <v/>
      </c>
      <c r="CG79" s="159">
        <f>E79+I79+M79+Q79+U79+Y79+AC79+AG79+AK79+AO79+AS79+AW79+BA79+BE79+BI79+BM79+BQ79+BU79+BY79+CC79</f>
        <v/>
      </c>
      <c r="CH79" s="152">
        <f>CH78+CG79</f>
        <v/>
      </c>
      <c r="CI79" s="148" t="n"/>
      <c r="CJ79" s="148" t="n"/>
    </row>
    <row r="80" ht="15" customHeight="1" s="83">
      <c r="A80" s="148" t="n"/>
      <c r="B80" s="158" t="n">
        <v>76</v>
      </c>
      <c r="C80" s="152">
        <f>F80+J80+N80+R80+V80+Z80+AD80+AH80+AL80+AP80+AT80+AX80+BB80+BF80+BJ80+BN80+BR80+BV80+BZ80+CD80</f>
        <v/>
      </c>
      <c r="D80" s="152">
        <f>G79</f>
        <v/>
      </c>
      <c r="E80" s="159">
        <f>IF(D80&gt;0.005,D80*Debts!D8/12,0)</f>
        <v/>
      </c>
      <c r="F80" s="159" t="n">
        <v>0</v>
      </c>
      <c r="G80" s="152">
        <f>MAX(0,D80+E80-F80)</f>
        <v/>
      </c>
      <c r="H80" s="152">
        <f>K79</f>
        <v/>
      </c>
      <c r="I80" s="159">
        <f>IF(H80&gt;0.005,H80*Debts!D9/12,0)</f>
        <v/>
      </c>
      <c r="J80" s="159" t="n">
        <v>0</v>
      </c>
      <c r="K80" s="152">
        <f>MAX(0,H80+I80-J80)</f>
        <v/>
      </c>
      <c r="L80" s="152">
        <f>O79</f>
        <v/>
      </c>
      <c r="M80" s="159">
        <f>IF(L80&gt;0.005,L80*Debts!D10/12,0)</f>
        <v/>
      </c>
      <c r="N80" s="159" t="n">
        <v>0</v>
      </c>
      <c r="O80" s="152">
        <f>MAX(0,L80+M80-N80)</f>
        <v/>
      </c>
      <c r="P80" s="152">
        <f>S79</f>
        <v/>
      </c>
      <c r="Q80" s="159">
        <f>IF(P80&gt;0.005,P80*Debts!D11/12,0)</f>
        <v/>
      </c>
      <c r="R80" s="159" t="n">
        <v>0</v>
      </c>
      <c r="S80" s="152">
        <f>MAX(0,P80+Q80-R80)</f>
        <v/>
      </c>
      <c r="T80" s="152">
        <f>W79</f>
        <v/>
      </c>
      <c r="U80" s="159">
        <f>IF(T80&gt;0.005,T80*Debts!D12/12,0)</f>
        <v/>
      </c>
      <c r="V80" s="159" t="n">
        <v>0</v>
      </c>
      <c r="W80" s="152">
        <f>MAX(0,T80+U80-V80)</f>
        <v/>
      </c>
      <c r="X80" s="152">
        <f>AA79</f>
        <v/>
      </c>
      <c r="Y80" s="159">
        <f>IF(X80&gt;0.005,X80*Debts!D13/12,0)</f>
        <v/>
      </c>
      <c r="Z80" s="159" t="n">
        <v>0</v>
      </c>
      <c r="AA80" s="152">
        <f>MAX(0,X80+Y80-Z80)</f>
        <v/>
      </c>
      <c r="AB80" s="152">
        <f>AE79</f>
        <v/>
      </c>
      <c r="AC80" s="159">
        <f>IF(AB80&gt;0.005,AB80*Debts!D14/12,0)</f>
        <v/>
      </c>
      <c r="AD80" s="159" t="n">
        <v>0</v>
      </c>
      <c r="AE80" s="152">
        <f>MAX(0,AB80+AC80-AD80)</f>
        <v/>
      </c>
      <c r="AF80" s="152">
        <f>AI79</f>
        <v/>
      </c>
      <c r="AG80" s="159">
        <f>IF(AF80&gt;0.005,AF80*Debts!D15/12,0)</f>
        <v/>
      </c>
      <c r="AH80" s="159" t="n">
        <v>0</v>
      </c>
      <c r="AI80" s="152">
        <f>MAX(0,AF80+AG80-AH80)</f>
        <v/>
      </c>
      <c r="AJ80" s="152">
        <f>AM79</f>
        <v/>
      </c>
      <c r="AK80" s="159">
        <f>IF(AJ80&gt;0.005,AJ80*Debts!D16/12,0)</f>
        <v/>
      </c>
      <c r="AL80" s="159" t="n">
        <v>0</v>
      </c>
      <c r="AM80" s="152">
        <f>MAX(0,AJ80+AK80-AL80)</f>
        <v/>
      </c>
      <c r="AN80" s="152">
        <f>AQ79</f>
        <v/>
      </c>
      <c r="AO80" s="159">
        <f>IF(AN80&gt;0.005,AN80*Debts!D17/12,0)</f>
        <v/>
      </c>
      <c r="AP80" s="159" t="n">
        <v>0</v>
      </c>
      <c r="AQ80" s="152">
        <f>MAX(0,AN80+AO80-AP80)</f>
        <v/>
      </c>
      <c r="AR80" s="152">
        <f>AU79</f>
        <v/>
      </c>
      <c r="AS80" s="159">
        <f>IF(AR80&gt;0.005,AR80*Debts!D18/12,0)</f>
        <v/>
      </c>
      <c r="AT80" s="159" t="n">
        <v>0</v>
      </c>
      <c r="AU80" s="152">
        <f>MAX(0,AR80+AS80-AT80)</f>
        <v/>
      </c>
      <c r="AV80" s="152">
        <f>AY79</f>
        <v/>
      </c>
      <c r="AW80" s="159">
        <f>IF(AV80&gt;0.005,AV80*Debts!D19/12,0)</f>
        <v/>
      </c>
      <c r="AX80" s="159" t="n">
        <v>0</v>
      </c>
      <c r="AY80" s="152">
        <f>MAX(0,AV80+AW80-AX80)</f>
        <v/>
      </c>
      <c r="AZ80" s="152">
        <f>BC79</f>
        <v/>
      </c>
      <c r="BA80" s="159">
        <f>IF(AZ80&gt;0.005,AZ80*Debts!D20/12,0)</f>
        <v/>
      </c>
      <c r="BB80" s="159" t="n">
        <v>0</v>
      </c>
      <c r="BC80" s="152">
        <f>MAX(0,AZ80+BA80-BB80)</f>
        <v/>
      </c>
      <c r="BD80" s="152">
        <f>BG79</f>
        <v/>
      </c>
      <c r="BE80" s="159">
        <f>IF(BD80&gt;0.005,BD80*Debts!D21/12,0)</f>
        <v/>
      </c>
      <c r="BF80" s="159" t="n">
        <v>0</v>
      </c>
      <c r="BG80" s="152">
        <f>MAX(0,BD80+BE80-BF80)</f>
        <v/>
      </c>
      <c r="BH80" s="152">
        <f>BK79</f>
        <v/>
      </c>
      <c r="BI80" s="159">
        <f>IF(BH80&gt;0.005,BH80*Debts!D22/12,0)</f>
        <v/>
      </c>
      <c r="BJ80" s="159" t="n">
        <v>0</v>
      </c>
      <c r="BK80" s="152">
        <f>MAX(0,BH80+BI80-BJ80)</f>
        <v/>
      </c>
      <c r="BL80" s="152">
        <f>BO79</f>
        <v/>
      </c>
      <c r="BM80" s="159">
        <f>IF(BL80&gt;0.005,BL80*Debts!D23/12,0)</f>
        <v/>
      </c>
      <c r="BN80" s="159" t="n">
        <v>0</v>
      </c>
      <c r="BO80" s="152">
        <f>MAX(0,BL80+BM80-BN80)</f>
        <v/>
      </c>
      <c r="BP80" s="152">
        <f>BS79</f>
        <v/>
      </c>
      <c r="BQ80" s="159">
        <f>IF(BP80&gt;0.005,BP80*Debts!D24/12,0)</f>
        <v/>
      </c>
      <c r="BR80" s="159" t="n">
        <v>0</v>
      </c>
      <c r="BS80" s="152">
        <f>MAX(0,BP80+BQ80-BR80)</f>
        <v/>
      </c>
      <c r="BT80" s="152">
        <f>BW79</f>
        <v/>
      </c>
      <c r="BU80" s="159">
        <f>IF(BT80&gt;0.005,BT80*Debts!D25/12,0)</f>
        <v/>
      </c>
      <c r="BV80" s="159" t="n">
        <v>0</v>
      </c>
      <c r="BW80" s="152">
        <f>MAX(0,BT80+BU80-BV80)</f>
        <v/>
      </c>
      <c r="BX80" s="152">
        <f>CA79</f>
        <v/>
      </c>
      <c r="BY80" s="159">
        <f>IF(BX80&gt;0.005,BX80*Debts!D26/12,0)</f>
        <v/>
      </c>
      <c r="BZ80" s="159" t="n">
        <v>0</v>
      </c>
      <c r="CA80" s="152">
        <f>MAX(0,BX80+BY80-BZ80)</f>
        <v/>
      </c>
      <c r="CB80" s="152">
        <f>CE79</f>
        <v/>
      </c>
      <c r="CC80" s="159">
        <f>IF(CB80&gt;0.005,CB80*Debts!D27/12,0)</f>
        <v/>
      </c>
      <c r="CD80" s="159" t="n">
        <v>0</v>
      </c>
      <c r="CE80" s="152">
        <f>MAX(0,CB80+CC80-CD80)</f>
        <v/>
      </c>
      <c r="CF80" s="152">
        <f>G80+K80+O80+S80+W80+AA80+AE80+AI80+AM80+AQ80+AU80+AY80+BC80+BG80+BK80+BO80+BS80+BW80+CA80+CE80</f>
        <v/>
      </c>
      <c r="CG80" s="159">
        <f>E80+I80+M80+Q80+U80+Y80+AC80+AG80+AK80+AO80+AS80+AW80+BA80+BE80+BI80+BM80+BQ80+BU80+BY80+CC80</f>
        <v/>
      </c>
      <c r="CH80" s="152">
        <f>CH79+CG80</f>
        <v/>
      </c>
      <c r="CI80" s="148" t="n"/>
      <c r="CJ80" s="148" t="n"/>
    </row>
    <row r="81" ht="15" customHeight="1" s="83">
      <c r="A81" s="148" t="n"/>
      <c r="B81" s="158" t="n">
        <v>77</v>
      </c>
      <c r="C81" s="152">
        <f>F81+J81+N81+R81+V81+Z81+AD81+AH81+AL81+AP81+AT81+AX81+BB81+BF81+BJ81+BN81+BR81+BV81+BZ81+CD81</f>
        <v/>
      </c>
      <c r="D81" s="152">
        <f>G80</f>
        <v/>
      </c>
      <c r="E81" s="159">
        <f>IF(D81&gt;0.005,D81*Debts!D8/12,0)</f>
        <v/>
      </c>
      <c r="F81" s="159" t="n">
        <v>0</v>
      </c>
      <c r="G81" s="152">
        <f>MAX(0,D81+E81-F81)</f>
        <v/>
      </c>
      <c r="H81" s="152">
        <f>K80</f>
        <v/>
      </c>
      <c r="I81" s="159">
        <f>IF(H81&gt;0.005,H81*Debts!D9/12,0)</f>
        <v/>
      </c>
      <c r="J81" s="159" t="n">
        <v>0</v>
      </c>
      <c r="K81" s="152">
        <f>MAX(0,H81+I81-J81)</f>
        <v/>
      </c>
      <c r="L81" s="152">
        <f>O80</f>
        <v/>
      </c>
      <c r="M81" s="159">
        <f>IF(L81&gt;0.005,L81*Debts!D10/12,0)</f>
        <v/>
      </c>
      <c r="N81" s="159" t="n">
        <v>0</v>
      </c>
      <c r="O81" s="152">
        <f>MAX(0,L81+M81-N81)</f>
        <v/>
      </c>
      <c r="P81" s="152">
        <f>S80</f>
        <v/>
      </c>
      <c r="Q81" s="159">
        <f>IF(P81&gt;0.005,P81*Debts!D11/12,0)</f>
        <v/>
      </c>
      <c r="R81" s="159" t="n">
        <v>0</v>
      </c>
      <c r="S81" s="152">
        <f>MAX(0,P81+Q81-R81)</f>
        <v/>
      </c>
      <c r="T81" s="152">
        <f>W80</f>
        <v/>
      </c>
      <c r="U81" s="159">
        <f>IF(T81&gt;0.005,T81*Debts!D12/12,0)</f>
        <v/>
      </c>
      <c r="V81" s="159" t="n">
        <v>0</v>
      </c>
      <c r="W81" s="152">
        <f>MAX(0,T81+U81-V81)</f>
        <v/>
      </c>
      <c r="X81" s="152">
        <f>AA80</f>
        <v/>
      </c>
      <c r="Y81" s="159">
        <f>IF(X81&gt;0.005,X81*Debts!D13/12,0)</f>
        <v/>
      </c>
      <c r="Z81" s="159" t="n">
        <v>0</v>
      </c>
      <c r="AA81" s="152">
        <f>MAX(0,X81+Y81-Z81)</f>
        <v/>
      </c>
      <c r="AB81" s="152">
        <f>AE80</f>
        <v/>
      </c>
      <c r="AC81" s="159">
        <f>IF(AB81&gt;0.005,AB81*Debts!D14/12,0)</f>
        <v/>
      </c>
      <c r="AD81" s="159" t="n">
        <v>0</v>
      </c>
      <c r="AE81" s="152">
        <f>MAX(0,AB81+AC81-AD81)</f>
        <v/>
      </c>
      <c r="AF81" s="152">
        <f>AI80</f>
        <v/>
      </c>
      <c r="AG81" s="159">
        <f>IF(AF81&gt;0.005,AF81*Debts!D15/12,0)</f>
        <v/>
      </c>
      <c r="AH81" s="159" t="n">
        <v>0</v>
      </c>
      <c r="AI81" s="152">
        <f>MAX(0,AF81+AG81-AH81)</f>
        <v/>
      </c>
      <c r="AJ81" s="152">
        <f>AM80</f>
        <v/>
      </c>
      <c r="AK81" s="159">
        <f>IF(AJ81&gt;0.005,AJ81*Debts!D16/12,0)</f>
        <v/>
      </c>
      <c r="AL81" s="159" t="n">
        <v>0</v>
      </c>
      <c r="AM81" s="152">
        <f>MAX(0,AJ81+AK81-AL81)</f>
        <v/>
      </c>
      <c r="AN81" s="152">
        <f>AQ80</f>
        <v/>
      </c>
      <c r="AO81" s="159">
        <f>IF(AN81&gt;0.005,AN81*Debts!D17/12,0)</f>
        <v/>
      </c>
      <c r="AP81" s="159" t="n">
        <v>0</v>
      </c>
      <c r="AQ81" s="152">
        <f>MAX(0,AN81+AO81-AP81)</f>
        <v/>
      </c>
      <c r="AR81" s="152">
        <f>AU80</f>
        <v/>
      </c>
      <c r="AS81" s="159">
        <f>IF(AR81&gt;0.005,AR81*Debts!D18/12,0)</f>
        <v/>
      </c>
      <c r="AT81" s="159" t="n">
        <v>0</v>
      </c>
      <c r="AU81" s="152">
        <f>MAX(0,AR81+AS81-AT81)</f>
        <v/>
      </c>
      <c r="AV81" s="152">
        <f>AY80</f>
        <v/>
      </c>
      <c r="AW81" s="159">
        <f>IF(AV81&gt;0.005,AV81*Debts!D19/12,0)</f>
        <v/>
      </c>
      <c r="AX81" s="159" t="n">
        <v>0</v>
      </c>
      <c r="AY81" s="152">
        <f>MAX(0,AV81+AW81-AX81)</f>
        <v/>
      </c>
      <c r="AZ81" s="152">
        <f>BC80</f>
        <v/>
      </c>
      <c r="BA81" s="159">
        <f>IF(AZ81&gt;0.005,AZ81*Debts!D20/12,0)</f>
        <v/>
      </c>
      <c r="BB81" s="159" t="n">
        <v>0</v>
      </c>
      <c r="BC81" s="152">
        <f>MAX(0,AZ81+BA81-BB81)</f>
        <v/>
      </c>
      <c r="BD81" s="152">
        <f>BG80</f>
        <v/>
      </c>
      <c r="BE81" s="159">
        <f>IF(BD81&gt;0.005,BD81*Debts!D21/12,0)</f>
        <v/>
      </c>
      <c r="BF81" s="159" t="n">
        <v>0</v>
      </c>
      <c r="BG81" s="152">
        <f>MAX(0,BD81+BE81-BF81)</f>
        <v/>
      </c>
      <c r="BH81" s="152">
        <f>BK80</f>
        <v/>
      </c>
      <c r="BI81" s="159">
        <f>IF(BH81&gt;0.005,BH81*Debts!D22/12,0)</f>
        <v/>
      </c>
      <c r="BJ81" s="159" t="n">
        <v>0</v>
      </c>
      <c r="BK81" s="152">
        <f>MAX(0,BH81+BI81-BJ81)</f>
        <v/>
      </c>
      <c r="BL81" s="152">
        <f>BO80</f>
        <v/>
      </c>
      <c r="BM81" s="159">
        <f>IF(BL81&gt;0.005,BL81*Debts!D23/12,0)</f>
        <v/>
      </c>
      <c r="BN81" s="159" t="n">
        <v>0</v>
      </c>
      <c r="BO81" s="152">
        <f>MAX(0,BL81+BM81-BN81)</f>
        <v/>
      </c>
      <c r="BP81" s="152">
        <f>BS80</f>
        <v/>
      </c>
      <c r="BQ81" s="159">
        <f>IF(BP81&gt;0.005,BP81*Debts!D24/12,0)</f>
        <v/>
      </c>
      <c r="BR81" s="159" t="n">
        <v>0</v>
      </c>
      <c r="BS81" s="152">
        <f>MAX(0,BP81+BQ81-BR81)</f>
        <v/>
      </c>
      <c r="BT81" s="152">
        <f>BW80</f>
        <v/>
      </c>
      <c r="BU81" s="159">
        <f>IF(BT81&gt;0.005,BT81*Debts!D25/12,0)</f>
        <v/>
      </c>
      <c r="BV81" s="159" t="n">
        <v>0</v>
      </c>
      <c r="BW81" s="152">
        <f>MAX(0,BT81+BU81-BV81)</f>
        <v/>
      </c>
      <c r="BX81" s="152">
        <f>CA80</f>
        <v/>
      </c>
      <c r="BY81" s="159">
        <f>IF(BX81&gt;0.005,BX81*Debts!D26/12,0)</f>
        <v/>
      </c>
      <c r="BZ81" s="159" t="n">
        <v>0</v>
      </c>
      <c r="CA81" s="152">
        <f>MAX(0,BX81+BY81-BZ81)</f>
        <v/>
      </c>
      <c r="CB81" s="152">
        <f>CE80</f>
        <v/>
      </c>
      <c r="CC81" s="159">
        <f>IF(CB81&gt;0.005,CB81*Debts!D27/12,0)</f>
        <v/>
      </c>
      <c r="CD81" s="159" t="n">
        <v>0</v>
      </c>
      <c r="CE81" s="152">
        <f>MAX(0,CB81+CC81-CD81)</f>
        <v/>
      </c>
      <c r="CF81" s="152">
        <f>G81+K81+O81+S81+W81+AA81+AE81+AI81+AM81+AQ81+AU81+AY81+BC81+BG81+BK81+BO81+BS81+BW81+CA81+CE81</f>
        <v/>
      </c>
      <c r="CG81" s="159">
        <f>E81+I81+M81+Q81+U81+Y81+AC81+AG81+AK81+AO81+AS81+AW81+BA81+BE81+BI81+BM81+BQ81+BU81+BY81+CC81</f>
        <v/>
      </c>
      <c r="CH81" s="152">
        <f>CH80+CG81</f>
        <v/>
      </c>
      <c r="CI81" s="148" t="n"/>
      <c r="CJ81" s="148" t="n"/>
    </row>
    <row r="82" ht="15" customHeight="1" s="83">
      <c r="A82" s="148" t="n"/>
      <c r="B82" s="158" t="n">
        <v>78</v>
      </c>
      <c r="C82" s="152">
        <f>F82+J82+N82+R82+V82+Z82+AD82+AH82+AL82+AP82+AT82+AX82+BB82+BF82+BJ82+BN82+BR82+BV82+BZ82+CD82</f>
        <v/>
      </c>
      <c r="D82" s="152">
        <f>G81</f>
        <v/>
      </c>
      <c r="E82" s="159">
        <f>IF(D82&gt;0.005,D82*Debts!D8/12,0)</f>
        <v/>
      </c>
      <c r="F82" s="159" t="n">
        <v>0</v>
      </c>
      <c r="G82" s="152">
        <f>MAX(0,D82+E82-F82)</f>
        <v/>
      </c>
      <c r="H82" s="152">
        <f>K81</f>
        <v/>
      </c>
      <c r="I82" s="159">
        <f>IF(H82&gt;0.005,H82*Debts!D9/12,0)</f>
        <v/>
      </c>
      <c r="J82" s="159" t="n">
        <v>0</v>
      </c>
      <c r="K82" s="152">
        <f>MAX(0,H82+I82-J82)</f>
        <v/>
      </c>
      <c r="L82" s="152">
        <f>O81</f>
        <v/>
      </c>
      <c r="M82" s="159">
        <f>IF(L82&gt;0.005,L82*Debts!D10/12,0)</f>
        <v/>
      </c>
      <c r="N82" s="159" t="n">
        <v>0</v>
      </c>
      <c r="O82" s="152">
        <f>MAX(0,L82+M82-N82)</f>
        <v/>
      </c>
      <c r="P82" s="152">
        <f>S81</f>
        <v/>
      </c>
      <c r="Q82" s="159">
        <f>IF(P82&gt;0.005,P82*Debts!D11/12,0)</f>
        <v/>
      </c>
      <c r="R82" s="159" t="n">
        <v>0</v>
      </c>
      <c r="S82" s="152">
        <f>MAX(0,P82+Q82-R82)</f>
        <v/>
      </c>
      <c r="T82" s="152">
        <f>W81</f>
        <v/>
      </c>
      <c r="U82" s="159">
        <f>IF(T82&gt;0.005,T82*Debts!D12/12,0)</f>
        <v/>
      </c>
      <c r="V82" s="159" t="n">
        <v>0</v>
      </c>
      <c r="W82" s="152">
        <f>MAX(0,T82+U82-V82)</f>
        <v/>
      </c>
      <c r="X82" s="152">
        <f>AA81</f>
        <v/>
      </c>
      <c r="Y82" s="159">
        <f>IF(X82&gt;0.005,X82*Debts!D13/12,0)</f>
        <v/>
      </c>
      <c r="Z82" s="159" t="n">
        <v>0</v>
      </c>
      <c r="AA82" s="152">
        <f>MAX(0,X82+Y82-Z82)</f>
        <v/>
      </c>
      <c r="AB82" s="152">
        <f>AE81</f>
        <v/>
      </c>
      <c r="AC82" s="159">
        <f>IF(AB82&gt;0.005,AB82*Debts!D14/12,0)</f>
        <v/>
      </c>
      <c r="AD82" s="159" t="n">
        <v>0</v>
      </c>
      <c r="AE82" s="152">
        <f>MAX(0,AB82+AC82-AD82)</f>
        <v/>
      </c>
      <c r="AF82" s="152">
        <f>AI81</f>
        <v/>
      </c>
      <c r="AG82" s="159">
        <f>IF(AF82&gt;0.005,AF82*Debts!D15/12,0)</f>
        <v/>
      </c>
      <c r="AH82" s="159" t="n">
        <v>0</v>
      </c>
      <c r="AI82" s="152">
        <f>MAX(0,AF82+AG82-AH82)</f>
        <v/>
      </c>
      <c r="AJ82" s="152">
        <f>AM81</f>
        <v/>
      </c>
      <c r="AK82" s="159">
        <f>IF(AJ82&gt;0.005,AJ82*Debts!D16/12,0)</f>
        <v/>
      </c>
      <c r="AL82" s="159" t="n">
        <v>0</v>
      </c>
      <c r="AM82" s="152">
        <f>MAX(0,AJ82+AK82-AL82)</f>
        <v/>
      </c>
      <c r="AN82" s="152">
        <f>AQ81</f>
        <v/>
      </c>
      <c r="AO82" s="159">
        <f>IF(AN82&gt;0.005,AN82*Debts!D17/12,0)</f>
        <v/>
      </c>
      <c r="AP82" s="159" t="n">
        <v>0</v>
      </c>
      <c r="AQ82" s="152">
        <f>MAX(0,AN82+AO82-AP82)</f>
        <v/>
      </c>
      <c r="AR82" s="152">
        <f>AU81</f>
        <v/>
      </c>
      <c r="AS82" s="159">
        <f>IF(AR82&gt;0.005,AR82*Debts!D18/12,0)</f>
        <v/>
      </c>
      <c r="AT82" s="159" t="n">
        <v>0</v>
      </c>
      <c r="AU82" s="152">
        <f>MAX(0,AR82+AS82-AT82)</f>
        <v/>
      </c>
      <c r="AV82" s="152">
        <f>AY81</f>
        <v/>
      </c>
      <c r="AW82" s="159">
        <f>IF(AV82&gt;0.005,AV82*Debts!D19/12,0)</f>
        <v/>
      </c>
      <c r="AX82" s="159" t="n">
        <v>0</v>
      </c>
      <c r="AY82" s="152">
        <f>MAX(0,AV82+AW82-AX82)</f>
        <v/>
      </c>
      <c r="AZ82" s="152">
        <f>BC81</f>
        <v/>
      </c>
      <c r="BA82" s="159">
        <f>IF(AZ82&gt;0.005,AZ82*Debts!D20/12,0)</f>
        <v/>
      </c>
      <c r="BB82" s="159" t="n">
        <v>0</v>
      </c>
      <c r="BC82" s="152">
        <f>MAX(0,AZ82+BA82-BB82)</f>
        <v/>
      </c>
      <c r="BD82" s="152">
        <f>BG81</f>
        <v/>
      </c>
      <c r="BE82" s="159">
        <f>IF(BD82&gt;0.005,BD82*Debts!D21/12,0)</f>
        <v/>
      </c>
      <c r="BF82" s="159" t="n">
        <v>0</v>
      </c>
      <c r="BG82" s="152">
        <f>MAX(0,BD82+BE82-BF82)</f>
        <v/>
      </c>
      <c r="BH82" s="152">
        <f>BK81</f>
        <v/>
      </c>
      <c r="BI82" s="159">
        <f>IF(BH82&gt;0.005,BH82*Debts!D22/12,0)</f>
        <v/>
      </c>
      <c r="BJ82" s="159" t="n">
        <v>0</v>
      </c>
      <c r="BK82" s="152">
        <f>MAX(0,BH82+BI82-BJ82)</f>
        <v/>
      </c>
      <c r="BL82" s="152">
        <f>BO81</f>
        <v/>
      </c>
      <c r="BM82" s="159">
        <f>IF(BL82&gt;0.005,BL82*Debts!D23/12,0)</f>
        <v/>
      </c>
      <c r="BN82" s="159" t="n">
        <v>0</v>
      </c>
      <c r="BO82" s="152">
        <f>MAX(0,BL82+BM82-BN82)</f>
        <v/>
      </c>
      <c r="BP82" s="152">
        <f>BS81</f>
        <v/>
      </c>
      <c r="BQ82" s="159">
        <f>IF(BP82&gt;0.005,BP82*Debts!D24/12,0)</f>
        <v/>
      </c>
      <c r="BR82" s="159" t="n">
        <v>0</v>
      </c>
      <c r="BS82" s="152">
        <f>MAX(0,BP82+BQ82-BR82)</f>
        <v/>
      </c>
      <c r="BT82" s="152">
        <f>BW81</f>
        <v/>
      </c>
      <c r="BU82" s="159">
        <f>IF(BT82&gt;0.005,BT82*Debts!D25/12,0)</f>
        <v/>
      </c>
      <c r="BV82" s="159" t="n">
        <v>0</v>
      </c>
      <c r="BW82" s="152">
        <f>MAX(0,BT82+BU82-BV82)</f>
        <v/>
      </c>
      <c r="BX82" s="152">
        <f>CA81</f>
        <v/>
      </c>
      <c r="BY82" s="159">
        <f>IF(BX82&gt;0.005,BX82*Debts!D26/12,0)</f>
        <v/>
      </c>
      <c r="BZ82" s="159" t="n">
        <v>0</v>
      </c>
      <c r="CA82" s="152">
        <f>MAX(0,BX82+BY82-BZ82)</f>
        <v/>
      </c>
      <c r="CB82" s="152">
        <f>CE81</f>
        <v/>
      </c>
      <c r="CC82" s="159">
        <f>IF(CB82&gt;0.005,CB82*Debts!D27/12,0)</f>
        <v/>
      </c>
      <c r="CD82" s="159" t="n">
        <v>0</v>
      </c>
      <c r="CE82" s="152">
        <f>MAX(0,CB82+CC82-CD82)</f>
        <v/>
      </c>
      <c r="CF82" s="152">
        <f>G82+K82+O82+S82+W82+AA82+AE82+AI82+AM82+AQ82+AU82+AY82+BC82+BG82+BK82+BO82+BS82+BW82+CA82+CE82</f>
        <v/>
      </c>
      <c r="CG82" s="159">
        <f>E82+I82+M82+Q82+U82+Y82+AC82+AG82+AK82+AO82+AS82+AW82+BA82+BE82+BI82+BM82+BQ82+BU82+BY82+CC82</f>
        <v/>
      </c>
      <c r="CH82" s="152">
        <f>CH81+CG82</f>
        <v/>
      </c>
      <c r="CI82" s="148" t="n"/>
      <c r="CJ82" s="148" t="n"/>
    </row>
    <row r="83" ht="15" customHeight="1" s="83">
      <c r="A83" s="148" t="n"/>
      <c r="B83" s="158" t="n">
        <v>79</v>
      </c>
      <c r="C83" s="152">
        <f>F83+J83+N83+R83+V83+Z83+AD83+AH83+AL83+AP83+AT83+AX83+BB83+BF83+BJ83+BN83+BR83+BV83+BZ83+CD83</f>
        <v/>
      </c>
      <c r="D83" s="152">
        <f>G82</f>
        <v/>
      </c>
      <c r="E83" s="159">
        <f>IF(D83&gt;0.005,D83*Debts!D8/12,0)</f>
        <v/>
      </c>
      <c r="F83" s="159" t="n">
        <v>0</v>
      </c>
      <c r="G83" s="152">
        <f>MAX(0,D83+E83-F83)</f>
        <v/>
      </c>
      <c r="H83" s="152">
        <f>K82</f>
        <v/>
      </c>
      <c r="I83" s="159">
        <f>IF(H83&gt;0.005,H83*Debts!D9/12,0)</f>
        <v/>
      </c>
      <c r="J83" s="159" t="n">
        <v>0</v>
      </c>
      <c r="K83" s="152">
        <f>MAX(0,H83+I83-J83)</f>
        <v/>
      </c>
      <c r="L83" s="152">
        <f>O82</f>
        <v/>
      </c>
      <c r="M83" s="159">
        <f>IF(L83&gt;0.005,L83*Debts!D10/12,0)</f>
        <v/>
      </c>
      <c r="N83" s="159" t="n">
        <v>0</v>
      </c>
      <c r="O83" s="152">
        <f>MAX(0,L83+M83-N83)</f>
        <v/>
      </c>
      <c r="P83" s="152">
        <f>S82</f>
        <v/>
      </c>
      <c r="Q83" s="159">
        <f>IF(P83&gt;0.005,P83*Debts!D11/12,0)</f>
        <v/>
      </c>
      <c r="R83" s="159" t="n">
        <v>0</v>
      </c>
      <c r="S83" s="152">
        <f>MAX(0,P83+Q83-R83)</f>
        <v/>
      </c>
      <c r="T83" s="152">
        <f>W82</f>
        <v/>
      </c>
      <c r="U83" s="159">
        <f>IF(T83&gt;0.005,T83*Debts!D12/12,0)</f>
        <v/>
      </c>
      <c r="V83" s="159" t="n">
        <v>0</v>
      </c>
      <c r="W83" s="152">
        <f>MAX(0,T83+U83-V83)</f>
        <v/>
      </c>
      <c r="X83" s="152">
        <f>AA82</f>
        <v/>
      </c>
      <c r="Y83" s="159">
        <f>IF(X83&gt;0.005,X83*Debts!D13/12,0)</f>
        <v/>
      </c>
      <c r="Z83" s="159" t="n">
        <v>0</v>
      </c>
      <c r="AA83" s="152">
        <f>MAX(0,X83+Y83-Z83)</f>
        <v/>
      </c>
      <c r="AB83" s="152">
        <f>AE82</f>
        <v/>
      </c>
      <c r="AC83" s="159">
        <f>IF(AB83&gt;0.005,AB83*Debts!D14/12,0)</f>
        <v/>
      </c>
      <c r="AD83" s="159" t="n">
        <v>0</v>
      </c>
      <c r="AE83" s="152">
        <f>MAX(0,AB83+AC83-AD83)</f>
        <v/>
      </c>
      <c r="AF83" s="152">
        <f>AI82</f>
        <v/>
      </c>
      <c r="AG83" s="159">
        <f>IF(AF83&gt;0.005,AF83*Debts!D15/12,0)</f>
        <v/>
      </c>
      <c r="AH83" s="159" t="n">
        <v>0</v>
      </c>
      <c r="AI83" s="152">
        <f>MAX(0,AF83+AG83-AH83)</f>
        <v/>
      </c>
      <c r="AJ83" s="152">
        <f>AM82</f>
        <v/>
      </c>
      <c r="AK83" s="159">
        <f>IF(AJ83&gt;0.005,AJ83*Debts!D16/12,0)</f>
        <v/>
      </c>
      <c r="AL83" s="159" t="n">
        <v>0</v>
      </c>
      <c r="AM83" s="152">
        <f>MAX(0,AJ83+AK83-AL83)</f>
        <v/>
      </c>
      <c r="AN83" s="152">
        <f>AQ82</f>
        <v/>
      </c>
      <c r="AO83" s="159">
        <f>IF(AN83&gt;0.005,AN83*Debts!D17/12,0)</f>
        <v/>
      </c>
      <c r="AP83" s="159" t="n">
        <v>0</v>
      </c>
      <c r="AQ83" s="152">
        <f>MAX(0,AN83+AO83-AP83)</f>
        <v/>
      </c>
      <c r="AR83" s="152">
        <f>AU82</f>
        <v/>
      </c>
      <c r="AS83" s="159">
        <f>IF(AR83&gt;0.005,AR83*Debts!D18/12,0)</f>
        <v/>
      </c>
      <c r="AT83" s="159" t="n">
        <v>0</v>
      </c>
      <c r="AU83" s="152">
        <f>MAX(0,AR83+AS83-AT83)</f>
        <v/>
      </c>
      <c r="AV83" s="152">
        <f>AY82</f>
        <v/>
      </c>
      <c r="AW83" s="159">
        <f>IF(AV83&gt;0.005,AV83*Debts!D19/12,0)</f>
        <v/>
      </c>
      <c r="AX83" s="159" t="n">
        <v>0</v>
      </c>
      <c r="AY83" s="152">
        <f>MAX(0,AV83+AW83-AX83)</f>
        <v/>
      </c>
      <c r="AZ83" s="152">
        <f>BC82</f>
        <v/>
      </c>
      <c r="BA83" s="159">
        <f>IF(AZ83&gt;0.005,AZ83*Debts!D20/12,0)</f>
        <v/>
      </c>
      <c r="BB83" s="159" t="n">
        <v>0</v>
      </c>
      <c r="BC83" s="152">
        <f>MAX(0,AZ83+BA83-BB83)</f>
        <v/>
      </c>
      <c r="BD83" s="152">
        <f>BG82</f>
        <v/>
      </c>
      <c r="BE83" s="159">
        <f>IF(BD83&gt;0.005,BD83*Debts!D21/12,0)</f>
        <v/>
      </c>
      <c r="BF83" s="159" t="n">
        <v>0</v>
      </c>
      <c r="BG83" s="152">
        <f>MAX(0,BD83+BE83-BF83)</f>
        <v/>
      </c>
      <c r="BH83" s="152">
        <f>BK82</f>
        <v/>
      </c>
      <c r="BI83" s="159">
        <f>IF(BH83&gt;0.005,BH83*Debts!D22/12,0)</f>
        <v/>
      </c>
      <c r="BJ83" s="159" t="n">
        <v>0</v>
      </c>
      <c r="BK83" s="152">
        <f>MAX(0,BH83+BI83-BJ83)</f>
        <v/>
      </c>
      <c r="BL83" s="152">
        <f>BO82</f>
        <v/>
      </c>
      <c r="BM83" s="159">
        <f>IF(BL83&gt;0.005,BL83*Debts!D23/12,0)</f>
        <v/>
      </c>
      <c r="BN83" s="159" t="n">
        <v>0</v>
      </c>
      <c r="BO83" s="152">
        <f>MAX(0,BL83+BM83-BN83)</f>
        <v/>
      </c>
      <c r="BP83" s="152">
        <f>BS82</f>
        <v/>
      </c>
      <c r="BQ83" s="159">
        <f>IF(BP83&gt;0.005,BP83*Debts!D24/12,0)</f>
        <v/>
      </c>
      <c r="BR83" s="159" t="n">
        <v>0</v>
      </c>
      <c r="BS83" s="152">
        <f>MAX(0,BP83+BQ83-BR83)</f>
        <v/>
      </c>
      <c r="BT83" s="152">
        <f>BW82</f>
        <v/>
      </c>
      <c r="BU83" s="159">
        <f>IF(BT83&gt;0.005,BT83*Debts!D25/12,0)</f>
        <v/>
      </c>
      <c r="BV83" s="159" t="n">
        <v>0</v>
      </c>
      <c r="BW83" s="152">
        <f>MAX(0,BT83+BU83-BV83)</f>
        <v/>
      </c>
      <c r="BX83" s="152">
        <f>CA82</f>
        <v/>
      </c>
      <c r="BY83" s="159">
        <f>IF(BX83&gt;0.005,BX83*Debts!D26/12,0)</f>
        <v/>
      </c>
      <c r="BZ83" s="159" t="n">
        <v>0</v>
      </c>
      <c r="CA83" s="152">
        <f>MAX(0,BX83+BY83-BZ83)</f>
        <v/>
      </c>
      <c r="CB83" s="152">
        <f>CE82</f>
        <v/>
      </c>
      <c r="CC83" s="159">
        <f>IF(CB83&gt;0.005,CB83*Debts!D27/12,0)</f>
        <v/>
      </c>
      <c r="CD83" s="159" t="n">
        <v>0</v>
      </c>
      <c r="CE83" s="152">
        <f>MAX(0,CB83+CC83-CD83)</f>
        <v/>
      </c>
      <c r="CF83" s="152">
        <f>G83+K83+O83+S83+W83+AA83+AE83+AI83+AM83+AQ83+AU83+AY83+BC83+BG83+BK83+BO83+BS83+BW83+CA83+CE83</f>
        <v/>
      </c>
      <c r="CG83" s="159">
        <f>E83+I83+M83+Q83+U83+Y83+AC83+AG83+AK83+AO83+AS83+AW83+BA83+BE83+BI83+BM83+BQ83+BU83+BY83+CC83</f>
        <v/>
      </c>
      <c r="CH83" s="152">
        <f>CH82+CG83</f>
        <v/>
      </c>
      <c r="CI83" s="148" t="n"/>
      <c r="CJ83" s="148" t="n"/>
    </row>
    <row r="84" ht="15" customHeight="1" s="83">
      <c r="A84" s="148" t="n"/>
      <c r="B84" s="158" t="n">
        <v>80</v>
      </c>
      <c r="C84" s="152">
        <f>F84+J84+N84+R84+V84+Z84+AD84+AH84+AL84+AP84+AT84+AX84+BB84+BF84+BJ84+BN84+BR84+BV84+BZ84+CD84</f>
        <v/>
      </c>
      <c r="D84" s="152">
        <f>G83</f>
        <v/>
      </c>
      <c r="E84" s="159">
        <f>IF(D84&gt;0.005,D84*Debts!D8/12,0)</f>
        <v/>
      </c>
      <c r="F84" s="159" t="n">
        <v>0</v>
      </c>
      <c r="G84" s="152">
        <f>MAX(0,D84+E84-F84)</f>
        <v/>
      </c>
      <c r="H84" s="152">
        <f>K83</f>
        <v/>
      </c>
      <c r="I84" s="159">
        <f>IF(H84&gt;0.005,H84*Debts!D9/12,0)</f>
        <v/>
      </c>
      <c r="J84" s="159" t="n">
        <v>0</v>
      </c>
      <c r="K84" s="152">
        <f>MAX(0,H84+I84-J84)</f>
        <v/>
      </c>
      <c r="L84" s="152">
        <f>O83</f>
        <v/>
      </c>
      <c r="M84" s="159">
        <f>IF(L84&gt;0.005,L84*Debts!D10/12,0)</f>
        <v/>
      </c>
      <c r="N84" s="159" t="n">
        <v>0</v>
      </c>
      <c r="O84" s="152">
        <f>MAX(0,L84+M84-N84)</f>
        <v/>
      </c>
      <c r="P84" s="152">
        <f>S83</f>
        <v/>
      </c>
      <c r="Q84" s="159">
        <f>IF(P84&gt;0.005,P84*Debts!D11/12,0)</f>
        <v/>
      </c>
      <c r="R84" s="159" t="n">
        <v>0</v>
      </c>
      <c r="S84" s="152">
        <f>MAX(0,P84+Q84-R84)</f>
        <v/>
      </c>
      <c r="T84" s="152">
        <f>W83</f>
        <v/>
      </c>
      <c r="U84" s="159">
        <f>IF(T84&gt;0.005,T84*Debts!D12/12,0)</f>
        <v/>
      </c>
      <c r="V84" s="159" t="n">
        <v>0</v>
      </c>
      <c r="W84" s="152">
        <f>MAX(0,T84+U84-V84)</f>
        <v/>
      </c>
      <c r="X84" s="152">
        <f>AA83</f>
        <v/>
      </c>
      <c r="Y84" s="159">
        <f>IF(X84&gt;0.005,X84*Debts!D13/12,0)</f>
        <v/>
      </c>
      <c r="Z84" s="159" t="n">
        <v>0</v>
      </c>
      <c r="AA84" s="152">
        <f>MAX(0,X84+Y84-Z84)</f>
        <v/>
      </c>
      <c r="AB84" s="152">
        <f>AE83</f>
        <v/>
      </c>
      <c r="AC84" s="159">
        <f>IF(AB84&gt;0.005,AB84*Debts!D14/12,0)</f>
        <v/>
      </c>
      <c r="AD84" s="159" t="n">
        <v>0</v>
      </c>
      <c r="AE84" s="152">
        <f>MAX(0,AB84+AC84-AD84)</f>
        <v/>
      </c>
      <c r="AF84" s="152">
        <f>AI83</f>
        <v/>
      </c>
      <c r="AG84" s="159">
        <f>IF(AF84&gt;0.005,AF84*Debts!D15/12,0)</f>
        <v/>
      </c>
      <c r="AH84" s="159" t="n">
        <v>0</v>
      </c>
      <c r="AI84" s="152">
        <f>MAX(0,AF84+AG84-AH84)</f>
        <v/>
      </c>
      <c r="AJ84" s="152">
        <f>AM83</f>
        <v/>
      </c>
      <c r="AK84" s="159">
        <f>IF(AJ84&gt;0.005,AJ84*Debts!D16/12,0)</f>
        <v/>
      </c>
      <c r="AL84" s="159" t="n">
        <v>0</v>
      </c>
      <c r="AM84" s="152">
        <f>MAX(0,AJ84+AK84-AL84)</f>
        <v/>
      </c>
      <c r="AN84" s="152">
        <f>AQ83</f>
        <v/>
      </c>
      <c r="AO84" s="159">
        <f>IF(AN84&gt;0.005,AN84*Debts!D17/12,0)</f>
        <v/>
      </c>
      <c r="AP84" s="159" t="n">
        <v>0</v>
      </c>
      <c r="AQ84" s="152">
        <f>MAX(0,AN84+AO84-AP84)</f>
        <v/>
      </c>
      <c r="AR84" s="152">
        <f>AU83</f>
        <v/>
      </c>
      <c r="AS84" s="159">
        <f>IF(AR84&gt;0.005,AR84*Debts!D18/12,0)</f>
        <v/>
      </c>
      <c r="AT84" s="159" t="n">
        <v>0</v>
      </c>
      <c r="AU84" s="152">
        <f>MAX(0,AR84+AS84-AT84)</f>
        <v/>
      </c>
      <c r="AV84" s="152">
        <f>AY83</f>
        <v/>
      </c>
      <c r="AW84" s="159">
        <f>IF(AV84&gt;0.005,AV84*Debts!D19/12,0)</f>
        <v/>
      </c>
      <c r="AX84" s="159" t="n">
        <v>0</v>
      </c>
      <c r="AY84" s="152">
        <f>MAX(0,AV84+AW84-AX84)</f>
        <v/>
      </c>
      <c r="AZ84" s="152">
        <f>BC83</f>
        <v/>
      </c>
      <c r="BA84" s="159">
        <f>IF(AZ84&gt;0.005,AZ84*Debts!D20/12,0)</f>
        <v/>
      </c>
      <c r="BB84" s="159" t="n">
        <v>0</v>
      </c>
      <c r="BC84" s="152">
        <f>MAX(0,AZ84+BA84-BB84)</f>
        <v/>
      </c>
      <c r="BD84" s="152">
        <f>BG83</f>
        <v/>
      </c>
      <c r="BE84" s="159">
        <f>IF(BD84&gt;0.005,BD84*Debts!D21/12,0)</f>
        <v/>
      </c>
      <c r="BF84" s="159" t="n">
        <v>0</v>
      </c>
      <c r="BG84" s="152">
        <f>MAX(0,BD84+BE84-BF84)</f>
        <v/>
      </c>
      <c r="BH84" s="152">
        <f>BK83</f>
        <v/>
      </c>
      <c r="BI84" s="159">
        <f>IF(BH84&gt;0.005,BH84*Debts!D22/12,0)</f>
        <v/>
      </c>
      <c r="BJ84" s="159" t="n">
        <v>0</v>
      </c>
      <c r="BK84" s="152">
        <f>MAX(0,BH84+BI84-BJ84)</f>
        <v/>
      </c>
      <c r="BL84" s="152">
        <f>BO83</f>
        <v/>
      </c>
      <c r="BM84" s="159">
        <f>IF(BL84&gt;0.005,BL84*Debts!D23/12,0)</f>
        <v/>
      </c>
      <c r="BN84" s="159" t="n">
        <v>0</v>
      </c>
      <c r="BO84" s="152">
        <f>MAX(0,BL84+BM84-BN84)</f>
        <v/>
      </c>
      <c r="BP84" s="152">
        <f>BS83</f>
        <v/>
      </c>
      <c r="BQ84" s="159">
        <f>IF(BP84&gt;0.005,BP84*Debts!D24/12,0)</f>
        <v/>
      </c>
      <c r="BR84" s="159" t="n">
        <v>0</v>
      </c>
      <c r="BS84" s="152">
        <f>MAX(0,BP84+BQ84-BR84)</f>
        <v/>
      </c>
      <c r="BT84" s="152">
        <f>BW83</f>
        <v/>
      </c>
      <c r="BU84" s="159">
        <f>IF(BT84&gt;0.005,BT84*Debts!D25/12,0)</f>
        <v/>
      </c>
      <c r="BV84" s="159" t="n">
        <v>0</v>
      </c>
      <c r="BW84" s="152">
        <f>MAX(0,BT84+BU84-BV84)</f>
        <v/>
      </c>
      <c r="BX84" s="152">
        <f>CA83</f>
        <v/>
      </c>
      <c r="BY84" s="159">
        <f>IF(BX84&gt;0.005,BX84*Debts!D26/12,0)</f>
        <v/>
      </c>
      <c r="BZ84" s="159" t="n">
        <v>0</v>
      </c>
      <c r="CA84" s="152">
        <f>MAX(0,BX84+BY84-BZ84)</f>
        <v/>
      </c>
      <c r="CB84" s="152">
        <f>CE83</f>
        <v/>
      </c>
      <c r="CC84" s="159">
        <f>IF(CB84&gt;0.005,CB84*Debts!D27/12,0)</f>
        <v/>
      </c>
      <c r="CD84" s="159" t="n">
        <v>0</v>
      </c>
      <c r="CE84" s="152">
        <f>MAX(0,CB84+CC84-CD84)</f>
        <v/>
      </c>
      <c r="CF84" s="152">
        <f>G84+K84+O84+S84+W84+AA84+AE84+AI84+AM84+AQ84+AU84+AY84+BC84+BG84+BK84+BO84+BS84+BW84+CA84+CE84</f>
        <v/>
      </c>
      <c r="CG84" s="159">
        <f>E84+I84+M84+Q84+U84+Y84+AC84+AG84+AK84+AO84+AS84+AW84+BA84+BE84+BI84+BM84+BQ84+BU84+BY84+CC84</f>
        <v/>
      </c>
      <c r="CH84" s="152">
        <f>CH83+CG84</f>
        <v/>
      </c>
      <c r="CI84" s="148" t="n"/>
      <c r="CJ84" s="148" t="n"/>
    </row>
    <row r="85" ht="15" customHeight="1" s="83">
      <c r="A85" s="148" t="n"/>
      <c r="B85" s="158" t="n">
        <v>81</v>
      </c>
      <c r="C85" s="152">
        <f>F85+J85+N85+R85+V85+Z85+AD85+AH85+AL85+AP85+AT85+AX85+BB85+BF85+BJ85+BN85+BR85+BV85+BZ85+CD85</f>
        <v/>
      </c>
      <c r="D85" s="152">
        <f>G84</f>
        <v/>
      </c>
      <c r="E85" s="159">
        <f>IF(D85&gt;0.005,D85*Debts!D8/12,0)</f>
        <v/>
      </c>
      <c r="F85" s="159" t="n">
        <v>0</v>
      </c>
      <c r="G85" s="152">
        <f>MAX(0,D85+E85-F85)</f>
        <v/>
      </c>
      <c r="H85" s="152">
        <f>K84</f>
        <v/>
      </c>
      <c r="I85" s="159">
        <f>IF(H85&gt;0.005,H85*Debts!D9/12,0)</f>
        <v/>
      </c>
      <c r="J85" s="159" t="n">
        <v>0</v>
      </c>
      <c r="K85" s="152">
        <f>MAX(0,H85+I85-J85)</f>
        <v/>
      </c>
      <c r="L85" s="152">
        <f>O84</f>
        <v/>
      </c>
      <c r="M85" s="159">
        <f>IF(L85&gt;0.005,L85*Debts!D10/12,0)</f>
        <v/>
      </c>
      <c r="N85" s="159" t="n">
        <v>0</v>
      </c>
      <c r="O85" s="152">
        <f>MAX(0,L85+M85-N85)</f>
        <v/>
      </c>
      <c r="P85" s="152">
        <f>S84</f>
        <v/>
      </c>
      <c r="Q85" s="159">
        <f>IF(P85&gt;0.005,P85*Debts!D11/12,0)</f>
        <v/>
      </c>
      <c r="R85" s="159" t="n">
        <v>0</v>
      </c>
      <c r="S85" s="152">
        <f>MAX(0,P85+Q85-R85)</f>
        <v/>
      </c>
      <c r="T85" s="152">
        <f>W84</f>
        <v/>
      </c>
      <c r="U85" s="159">
        <f>IF(T85&gt;0.005,T85*Debts!D12/12,0)</f>
        <v/>
      </c>
      <c r="V85" s="159" t="n">
        <v>0</v>
      </c>
      <c r="W85" s="152">
        <f>MAX(0,T85+U85-V85)</f>
        <v/>
      </c>
      <c r="X85" s="152">
        <f>AA84</f>
        <v/>
      </c>
      <c r="Y85" s="159">
        <f>IF(X85&gt;0.005,X85*Debts!D13/12,0)</f>
        <v/>
      </c>
      <c r="Z85" s="159" t="n">
        <v>0</v>
      </c>
      <c r="AA85" s="152">
        <f>MAX(0,X85+Y85-Z85)</f>
        <v/>
      </c>
      <c r="AB85" s="152">
        <f>AE84</f>
        <v/>
      </c>
      <c r="AC85" s="159">
        <f>IF(AB85&gt;0.005,AB85*Debts!D14/12,0)</f>
        <v/>
      </c>
      <c r="AD85" s="159" t="n">
        <v>0</v>
      </c>
      <c r="AE85" s="152">
        <f>MAX(0,AB85+AC85-AD85)</f>
        <v/>
      </c>
      <c r="AF85" s="152">
        <f>AI84</f>
        <v/>
      </c>
      <c r="AG85" s="159">
        <f>IF(AF85&gt;0.005,AF85*Debts!D15/12,0)</f>
        <v/>
      </c>
      <c r="AH85" s="159" t="n">
        <v>0</v>
      </c>
      <c r="AI85" s="152">
        <f>MAX(0,AF85+AG85-AH85)</f>
        <v/>
      </c>
      <c r="AJ85" s="152">
        <f>AM84</f>
        <v/>
      </c>
      <c r="AK85" s="159">
        <f>IF(AJ85&gt;0.005,AJ85*Debts!D16/12,0)</f>
        <v/>
      </c>
      <c r="AL85" s="159" t="n">
        <v>0</v>
      </c>
      <c r="AM85" s="152">
        <f>MAX(0,AJ85+AK85-AL85)</f>
        <v/>
      </c>
      <c r="AN85" s="152">
        <f>AQ84</f>
        <v/>
      </c>
      <c r="AO85" s="159">
        <f>IF(AN85&gt;0.005,AN85*Debts!D17/12,0)</f>
        <v/>
      </c>
      <c r="AP85" s="159" t="n">
        <v>0</v>
      </c>
      <c r="AQ85" s="152">
        <f>MAX(0,AN85+AO85-AP85)</f>
        <v/>
      </c>
      <c r="AR85" s="152">
        <f>AU84</f>
        <v/>
      </c>
      <c r="AS85" s="159">
        <f>IF(AR85&gt;0.005,AR85*Debts!D18/12,0)</f>
        <v/>
      </c>
      <c r="AT85" s="159" t="n">
        <v>0</v>
      </c>
      <c r="AU85" s="152">
        <f>MAX(0,AR85+AS85-AT85)</f>
        <v/>
      </c>
      <c r="AV85" s="152">
        <f>AY84</f>
        <v/>
      </c>
      <c r="AW85" s="159">
        <f>IF(AV85&gt;0.005,AV85*Debts!D19/12,0)</f>
        <v/>
      </c>
      <c r="AX85" s="159" t="n">
        <v>0</v>
      </c>
      <c r="AY85" s="152">
        <f>MAX(0,AV85+AW85-AX85)</f>
        <v/>
      </c>
      <c r="AZ85" s="152">
        <f>BC84</f>
        <v/>
      </c>
      <c r="BA85" s="159">
        <f>IF(AZ85&gt;0.005,AZ85*Debts!D20/12,0)</f>
        <v/>
      </c>
      <c r="BB85" s="159" t="n">
        <v>0</v>
      </c>
      <c r="BC85" s="152">
        <f>MAX(0,AZ85+BA85-BB85)</f>
        <v/>
      </c>
      <c r="BD85" s="152">
        <f>BG84</f>
        <v/>
      </c>
      <c r="BE85" s="159">
        <f>IF(BD85&gt;0.005,BD85*Debts!D21/12,0)</f>
        <v/>
      </c>
      <c r="BF85" s="159" t="n">
        <v>0</v>
      </c>
      <c r="BG85" s="152">
        <f>MAX(0,BD85+BE85-BF85)</f>
        <v/>
      </c>
      <c r="BH85" s="152">
        <f>BK84</f>
        <v/>
      </c>
      <c r="BI85" s="159">
        <f>IF(BH85&gt;0.005,BH85*Debts!D22/12,0)</f>
        <v/>
      </c>
      <c r="BJ85" s="159" t="n">
        <v>0</v>
      </c>
      <c r="BK85" s="152">
        <f>MAX(0,BH85+BI85-BJ85)</f>
        <v/>
      </c>
      <c r="BL85" s="152">
        <f>BO84</f>
        <v/>
      </c>
      <c r="BM85" s="159">
        <f>IF(BL85&gt;0.005,BL85*Debts!D23/12,0)</f>
        <v/>
      </c>
      <c r="BN85" s="159" t="n">
        <v>0</v>
      </c>
      <c r="BO85" s="152">
        <f>MAX(0,BL85+BM85-BN85)</f>
        <v/>
      </c>
      <c r="BP85" s="152">
        <f>BS84</f>
        <v/>
      </c>
      <c r="BQ85" s="159">
        <f>IF(BP85&gt;0.005,BP85*Debts!D24/12,0)</f>
        <v/>
      </c>
      <c r="BR85" s="159" t="n">
        <v>0</v>
      </c>
      <c r="BS85" s="152">
        <f>MAX(0,BP85+BQ85-BR85)</f>
        <v/>
      </c>
      <c r="BT85" s="152">
        <f>BW84</f>
        <v/>
      </c>
      <c r="BU85" s="159">
        <f>IF(BT85&gt;0.005,BT85*Debts!D25/12,0)</f>
        <v/>
      </c>
      <c r="BV85" s="159" t="n">
        <v>0</v>
      </c>
      <c r="BW85" s="152">
        <f>MAX(0,BT85+BU85-BV85)</f>
        <v/>
      </c>
      <c r="BX85" s="152">
        <f>CA84</f>
        <v/>
      </c>
      <c r="BY85" s="159">
        <f>IF(BX85&gt;0.005,BX85*Debts!D26/12,0)</f>
        <v/>
      </c>
      <c r="BZ85" s="159" t="n">
        <v>0</v>
      </c>
      <c r="CA85" s="152">
        <f>MAX(0,BX85+BY85-BZ85)</f>
        <v/>
      </c>
      <c r="CB85" s="152">
        <f>CE84</f>
        <v/>
      </c>
      <c r="CC85" s="159">
        <f>IF(CB85&gt;0.005,CB85*Debts!D27/12,0)</f>
        <v/>
      </c>
      <c r="CD85" s="159" t="n">
        <v>0</v>
      </c>
      <c r="CE85" s="152">
        <f>MAX(0,CB85+CC85-CD85)</f>
        <v/>
      </c>
      <c r="CF85" s="152">
        <f>G85+K85+O85+S85+W85+AA85+AE85+AI85+AM85+AQ85+AU85+AY85+BC85+BG85+BK85+BO85+BS85+BW85+CA85+CE85</f>
        <v/>
      </c>
      <c r="CG85" s="159">
        <f>E85+I85+M85+Q85+U85+Y85+AC85+AG85+AK85+AO85+AS85+AW85+BA85+BE85+BI85+BM85+BQ85+BU85+BY85+CC85</f>
        <v/>
      </c>
      <c r="CH85" s="152">
        <f>CH84+CG85</f>
        <v/>
      </c>
      <c r="CI85" s="148" t="n"/>
      <c r="CJ85" s="148" t="n"/>
    </row>
    <row r="86" ht="15" customHeight="1" s="83">
      <c r="A86" s="148" t="n"/>
      <c r="B86" s="158" t="n">
        <v>82</v>
      </c>
      <c r="C86" s="152">
        <f>F86+J86+N86+R86+V86+Z86+AD86+AH86+AL86+AP86+AT86+AX86+BB86+BF86+BJ86+BN86+BR86+BV86+BZ86+CD86</f>
        <v/>
      </c>
      <c r="D86" s="152">
        <f>G85</f>
        <v/>
      </c>
      <c r="E86" s="159">
        <f>IF(D86&gt;0.005,D86*Debts!D8/12,0)</f>
        <v/>
      </c>
      <c r="F86" s="159" t="n">
        <v>0</v>
      </c>
      <c r="G86" s="152">
        <f>MAX(0,D86+E86-F86)</f>
        <v/>
      </c>
      <c r="H86" s="152">
        <f>K85</f>
        <v/>
      </c>
      <c r="I86" s="159">
        <f>IF(H86&gt;0.005,H86*Debts!D9/12,0)</f>
        <v/>
      </c>
      <c r="J86" s="159" t="n">
        <v>0</v>
      </c>
      <c r="K86" s="152">
        <f>MAX(0,H86+I86-J86)</f>
        <v/>
      </c>
      <c r="L86" s="152">
        <f>O85</f>
        <v/>
      </c>
      <c r="M86" s="159">
        <f>IF(L86&gt;0.005,L86*Debts!D10/12,0)</f>
        <v/>
      </c>
      <c r="N86" s="159" t="n">
        <v>0</v>
      </c>
      <c r="O86" s="152">
        <f>MAX(0,L86+M86-N86)</f>
        <v/>
      </c>
      <c r="P86" s="152">
        <f>S85</f>
        <v/>
      </c>
      <c r="Q86" s="159">
        <f>IF(P86&gt;0.005,P86*Debts!D11/12,0)</f>
        <v/>
      </c>
      <c r="R86" s="159" t="n">
        <v>0</v>
      </c>
      <c r="S86" s="152">
        <f>MAX(0,P86+Q86-R86)</f>
        <v/>
      </c>
      <c r="T86" s="152">
        <f>W85</f>
        <v/>
      </c>
      <c r="U86" s="159">
        <f>IF(T86&gt;0.005,T86*Debts!D12/12,0)</f>
        <v/>
      </c>
      <c r="V86" s="159" t="n">
        <v>0</v>
      </c>
      <c r="W86" s="152">
        <f>MAX(0,T86+U86-V86)</f>
        <v/>
      </c>
      <c r="X86" s="152">
        <f>AA85</f>
        <v/>
      </c>
      <c r="Y86" s="159">
        <f>IF(X86&gt;0.005,X86*Debts!D13/12,0)</f>
        <v/>
      </c>
      <c r="Z86" s="159" t="n">
        <v>0</v>
      </c>
      <c r="AA86" s="152">
        <f>MAX(0,X86+Y86-Z86)</f>
        <v/>
      </c>
      <c r="AB86" s="152">
        <f>AE85</f>
        <v/>
      </c>
      <c r="AC86" s="159">
        <f>IF(AB86&gt;0.005,AB86*Debts!D14/12,0)</f>
        <v/>
      </c>
      <c r="AD86" s="159" t="n">
        <v>0</v>
      </c>
      <c r="AE86" s="152">
        <f>MAX(0,AB86+AC86-AD86)</f>
        <v/>
      </c>
      <c r="AF86" s="152">
        <f>AI85</f>
        <v/>
      </c>
      <c r="AG86" s="159">
        <f>IF(AF86&gt;0.005,AF86*Debts!D15/12,0)</f>
        <v/>
      </c>
      <c r="AH86" s="159" t="n">
        <v>0</v>
      </c>
      <c r="AI86" s="152">
        <f>MAX(0,AF86+AG86-AH86)</f>
        <v/>
      </c>
      <c r="AJ86" s="152">
        <f>AM85</f>
        <v/>
      </c>
      <c r="AK86" s="159">
        <f>IF(AJ86&gt;0.005,AJ86*Debts!D16/12,0)</f>
        <v/>
      </c>
      <c r="AL86" s="159" t="n">
        <v>0</v>
      </c>
      <c r="AM86" s="152">
        <f>MAX(0,AJ86+AK86-AL86)</f>
        <v/>
      </c>
      <c r="AN86" s="152">
        <f>AQ85</f>
        <v/>
      </c>
      <c r="AO86" s="159">
        <f>IF(AN86&gt;0.005,AN86*Debts!D17/12,0)</f>
        <v/>
      </c>
      <c r="AP86" s="159" t="n">
        <v>0</v>
      </c>
      <c r="AQ86" s="152">
        <f>MAX(0,AN86+AO86-AP86)</f>
        <v/>
      </c>
      <c r="AR86" s="152">
        <f>AU85</f>
        <v/>
      </c>
      <c r="AS86" s="159">
        <f>IF(AR86&gt;0.005,AR86*Debts!D18/12,0)</f>
        <v/>
      </c>
      <c r="AT86" s="159" t="n">
        <v>0</v>
      </c>
      <c r="AU86" s="152">
        <f>MAX(0,AR86+AS86-AT86)</f>
        <v/>
      </c>
      <c r="AV86" s="152">
        <f>AY85</f>
        <v/>
      </c>
      <c r="AW86" s="159">
        <f>IF(AV86&gt;0.005,AV86*Debts!D19/12,0)</f>
        <v/>
      </c>
      <c r="AX86" s="159" t="n">
        <v>0</v>
      </c>
      <c r="AY86" s="152">
        <f>MAX(0,AV86+AW86-AX86)</f>
        <v/>
      </c>
      <c r="AZ86" s="152">
        <f>BC85</f>
        <v/>
      </c>
      <c r="BA86" s="159">
        <f>IF(AZ86&gt;0.005,AZ86*Debts!D20/12,0)</f>
        <v/>
      </c>
      <c r="BB86" s="159" t="n">
        <v>0</v>
      </c>
      <c r="BC86" s="152">
        <f>MAX(0,AZ86+BA86-BB86)</f>
        <v/>
      </c>
      <c r="BD86" s="152">
        <f>BG85</f>
        <v/>
      </c>
      <c r="BE86" s="159">
        <f>IF(BD86&gt;0.005,BD86*Debts!D21/12,0)</f>
        <v/>
      </c>
      <c r="BF86" s="159" t="n">
        <v>0</v>
      </c>
      <c r="BG86" s="152">
        <f>MAX(0,BD86+BE86-BF86)</f>
        <v/>
      </c>
      <c r="BH86" s="152">
        <f>BK85</f>
        <v/>
      </c>
      <c r="BI86" s="159">
        <f>IF(BH86&gt;0.005,BH86*Debts!D22/12,0)</f>
        <v/>
      </c>
      <c r="BJ86" s="159" t="n">
        <v>0</v>
      </c>
      <c r="BK86" s="152">
        <f>MAX(0,BH86+BI86-BJ86)</f>
        <v/>
      </c>
      <c r="BL86" s="152">
        <f>BO85</f>
        <v/>
      </c>
      <c r="BM86" s="159">
        <f>IF(BL86&gt;0.005,BL86*Debts!D23/12,0)</f>
        <v/>
      </c>
      <c r="BN86" s="159" t="n">
        <v>0</v>
      </c>
      <c r="BO86" s="152">
        <f>MAX(0,BL86+BM86-BN86)</f>
        <v/>
      </c>
      <c r="BP86" s="152">
        <f>BS85</f>
        <v/>
      </c>
      <c r="BQ86" s="159">
        <f>IF(BP86&gt;0.005,BP86*Debts!D24/12,0)</f>
        <v/>
      </c>
      <c r="BR86" s="159" t="n">
        <v>0</v>
      </c>
      <c r="BS86" s="152">
        <f>MAX(0,BP86+BQ86-BR86)</f>
        <v/>
      </c>
      <c r="BT86" s="152">
        <f>BW85</f>
        <v/>
      </c>
      <c r="BU86" s="159">
        <f>IF(BT86&gt;0.005,BT86*Debts!D25/12,0)</f>
        <v/>
      </c>
      <c r="BV86" s="159" t="n">
        <v>0</v>
      </c>
      <c r="BW86" s="152">
        <f>MAX(0,BT86+BU86-BV86)</f>
        <v/>
      </c>
      <c r="BX86" s="152">
        <f>CA85</f>
        <v/>
      </c>
      <c r="BY86" s="159">
        <f>IF(BX86&gt;0.005,BX86*Debts!D26/12,0)</f>
        <v/>
      </c>
      <c r="BZ86" s="159" t="n">
        <v>0</v>
      </c>
      <c r="CA86" s="152">
        <f>MAX(0,BX86+BY86-BZ86)</f>
        <v/>
      </c>
      <c r="CB86" s="152">
        <f>CE85</f>
        <v/>
      </c>
      <c r="CC86" s="159">
        <f>IF(CB86&gt;0.005,CB86*Debts!D27/12,0)</f>
        <v/>
      </c>
      <c r="CD86" s="159" t="n">
        <v>0</v>
      </c>
      <c r="CE86" s="152">
        <f>MAX(0,CB86+CC86-CD86)</f>
        <v/>
      </c>
      <c r="CF86" s="152">
        <f>G86+K86+O86+S86+W86+AA86+AE86+AI86+AM86+AQ86+AU86+AY86+BC86+BG86+BK86+BO86+BS86+BW86+CA86+CE86</f>
        <v/>
      </c>
      <c r="CG86" s="159">
        <f>E86+I86+M86+Q86+U86+Y86+AC86+AG86+AK86+AO86+AS86+AW86+BA86+BE86+BI86+BM86+BQ86+BU86+BY86+CC86</f>
        <v/>
      </c>
      <c r="CH86" s="152">
        <f>CH85+CG86</f>
        <v/>
      </c>
      <c r="CI86" s="148" t="n"/>
      <c r="CJ86" s="148" t="n"/>
    </row>
    <row r="87" ht="15" customHeight="1" s="83">
      <c r="A87" s="148" t="n"/>
      <c r="B87" s="158" t="n">
        <v>83</v>
      </c>
      <c r="C87" s="152">
        <f>F87+J87+N87+R87+V87+Z87+AD87+AH87+AL87+AP87+AT87+AX87+BB87+BF87+BJ87+BN87+BR87+BV87+BZ87+CD87</f>
        <v/>
      </c>
      <c r="D87" s="152">
        <f>G86</f>
        <v/>
      </c>
      <c r="E87" s="159">
        <f>IF(D87&gt;0.005,D87*Debts!D8/12,0)</f>
        <v/>
      </c>
      <c r="F87" s="159" t="n">
        <v>0</v>
      </c>
      <c r="G87" s="152">
        <f>MAX(0,D87+E87-F87)</f>
        <v/>
      </c>
      <c r="H87" s="152">
        <f>K86</f>
        <v/>
      </c>
      <c r="I87" s="159">
        <f>IF(H87&gt;0.005,H87*Debts!D9/12,0)</f>
        <v/>
      </c>
      <c r="J87" s="159" t="n">
        <v>0</v>
      </c>
      <c r="K87" s="152">
        <f>MAX(0,H87+I87-J87)</f>
        <v/>
      </c>
      <c r="L87" s="152">
        <f>O86</f>
        <v/>
      </c>
      <c r="M87" s="159">
        <f>IF(L87&gt;0.005,L87*Debts!D10/12,0)</f>
        <v/>
      </c>
      <c r="N87" s="159" t="n">
        <v>0</v>
      </c>
      <c r="O87" s="152">
        <f>MAX(0,L87+M87-N87)</f>
        <v/>
      </c>
      <c r="P87" s="152">
        <f>S86</f>
        <v/>
      </c>
      <c r="Q87" s="159">
        <f>IF(P87&gt;0.005,P87*Debts!D11/12,0)</f>
        <v/>
      </c>
      <c r="R87" s="159" t="n">
        <v>0</v>
      </c>
      <c r="S87" s="152">
        <f>MAX(0,P87+Q87-R87)</f>
        <v/>
      </c>
      <c r="T87" s="152">
        <f>W86</f>
        <v/>
      </c>
      <c r="U87" s="159">
        <f>IF(T87&gt;0.005,T87*Debts!D12/12,0)</f>
        <v/>
      </c>
      <c r="V87" s="159" t="n">
        <v>0</v>
      </c>
      <c r="W87" s="152">
        <f>MAX(0,T87+U87-V87)</f>
        <v/>
      </c>
      <c r="X87" s="152">
        <f>AA86</f>
        <v/>
      </c>
      <c r="Y87" s="159">
        <f>IF(X87&gt;0.005,X87*Debts!D13/12,0)</f>
        <v/>
      </c>
      <c r="Z87" s="159" t="n">
        <v>0</v>
      </c>
      <c r="AA87" s="152">
        <f>MAX(0,X87+Y87-Z87)</f>
        <v/>
      </c>
      <c r="AB87" s="152">
        <f>AE86</f>
        <v/>
      </c>
      <c r="AC87" s="159">
        <f>IF(AB87&gt;0.005,AB87*Debts!D14/12,0)</f>
        <v/>
      </c>
      <c r="AD87" s="159" t="n">
        <v>0</v>
      </c>
      <c r="AE87" s="152">
        <f>MAX(0,AB87+AC87-AD87)</f>
        <v/>
      </c>
      <c r="AF87" s="152">
        <f>AI86</f>
        <v/>
      </c>
      <c r="AG87" s="159">
        <f>IF(AF87&gt;0.005,AF87*Debts!D15/12,0)</f>
        <v/>
      </c>
      <c r="AH87" s="159" t="n">
        <v>0</v>
      </c>
      <c r="AI87" s="152">
        <f>MAX(0,AF87+AG87-AH87)</f>
        <v/>
      </c>
      <c r="AJ87" s="152">
        <f>AM86</f>
        <v/>
      </c>
      <c r="AK87" s="159">
        <f>IF(AJ87&gt;0.005,AJ87*Debts!D16/12,0)</f>
        <v/>
      </c>
      <c r="AL87" s="159" t="n">
        <v>0</v>
      </c>
      <c r="AM87" s="152">
        <f>MAX(0,AJ87+AK87-AL87)</f>
        <v/>
      </c>
      <c r="AN87" s="152">
        <f>AQ86</f>
        <v/>
      </c>
      <c r="AO87" s="159">
        <f>IF(AN87&gt;0.005,AN87*Debts!D17/12,0)</f>
        <v/>
      </c>
      <c r="AP87" s="159" t="n">
        <v>0</v>
      </c>
      <c r="AQ87" s="152">
        <f>MAX(0,AN87+AO87-AP87)</f>
        <v/>
      </c>
      <c r="AR87" s="152">
        <f>AU86</f>
        <v/>
      </c>
      <c r="AS87" s="159">
        <f>IF(AR87&gt;0.005,AR87*Debts!D18/12,0)</f>
        <v/>
      </c>
      <c r="AT87" s="159" t="n">
        <v>0</v>
      </c>
      <c r="AU87" s="152">
        <f>MAX(0,AR87+AS87-AT87)</f>
        <v/>
      </c>
      <c r="AV87" s="152">
        <f>AY86</f>
        <v/>
      </c>
      <c r="AW87" s="159">
        <f>IF(AV87&gt;0.005,AV87*Debts!D19/12,0)</f>
        <v/>
      </c>
      <c r="AX87" s="159" t="n">
        <v>0</v>
      </c>
      <c r="AY87" s="152">
        <f>MAX(0,AV87+AW87-AX87)</f>
        <v/>
      </c>
      <c r="AZ87" s="152">
        <f>BC86</f>
        <v/>
      </c>
      <c r="BA87" s="159">
        <f>IF(AZ87&gt;0.005,AZ87*Debts!D20/12,0)</f>
        <v/>
      </c>
      <c r="BB87" s="159" t="n">
        <v>0</v>
      </c>
      <c r="BC87" s="152">
        <f>MAX(0,AZ87+BA87-BB87)</f>
        <v/>
      </c>
      <c r="BD87" s="152">
        <f>BG86</f>
        <v/>
      </c>
      <c r="BE87" s="159">
        <f>IF(BD87&gt;0.005,BD87*Debts!D21/12,0)</f>
        <v/>
      </c>
      <c r="BF87" s="159" t="n">
        <v>0</v>
      </c>
      <c r="BG87" s="152">
        <f>MAX(0,BD87+BE87-BF87)</f>
        <v/>
      </c>
      <c r="BH87" s="152">
        <f>BK86</f>
        <v/>
      </c>
      <c r="BI87" s="159">
        <f>IF(BH87&gt;0.005,BH87*Debts!D22/12,0)</f>
        <v/>
      </c>
      <c r="BJ87" s="159" t="n">
        <v>0</v>
      </c>
      <c r="BK87" s="152">
        <f>MAX(0,BH87+BI87-BJ87)</f>
        <v/>
      </c>
      <c r="BL87" s="152">
        <f>BO86</f>
        <v/>
      </c>
      <c r="BM87" s="159">
        <f>IF(BL87&gt;0.005,BL87*Debts!D23/12,0)</f>
        <v/>
      </c>
      <c r="BN87" s="159" t="n">
        <v>0</v>
      </c>
      <c r="BO87" s="152">
        <f>MAX(0,BL87+BM87-BN87)</f>
        <v/>
      </c>
      <c r="BP87" s="152">
        <f>BS86</f>
        <v/>
      </c>
      <c r="BQ87" s="159">
        <f>IF(BP87&gt;0.005,BP87*Debts!D24/12,0)</f>
        <v/>
      </c>
      <c r="BR87" s="159" t="n">
        <v>0</v>
      </c>
      <c r="BS87" s="152">
        <f>MAX(0,BP87+BQ87-BR87)</f>
        <v/>
      </c>
      <c r="BT87" s="152">
        <f>BW86</f>
        <v/>
      </c>
      <c r="BU87" s="159">
        <f>IF(BT87&gt;0.005,BT87*Debts!D25/12,0)</f>
        <v/>
      </c>
      <c r="BV87" s="159" t="n">
        <v>0</v>
      </c>
      <c r="BW87" s="152">
        <f>MAX(0,BT87+BU87-BV87)</f>
        <v/>
      </c>
      <c r="BX87" s="152">
        <f>CA86</f>
        <v/>
      </c>
      <c r="BY87" s="159">
        <f>IF(BX87&gt;0.005,BX87*Debts!D26/12,0)</f>
        <v/>
      </c>
      <c r="BZ87" s="159" t="n">
        <v>0</v>
      </c>
      <c r="CA87" s="152">
        <f>MAX(0,BX87+BY87-BZ87)</f>
        <v/>
      </c>
      <c r="CB87" s="152">
        <f>CE86</f>
        <v/>
      </c>
      <c r="CC87" s="159">
        <f>IF(CB87&gt;0.005,CB87*Debts!D27/12,0)</f>
        <v/>
      </c>
      <c r="CD87" s="159" t="n">
        <v>0</v>
      </c>
      <c r="CE87" s="152">
        <f>MAX(0,CB87+CC87-CD87)</f>
        <v/>
      </c>
      <c r="CF87" s="152">
        <f>G87+K87+O87+S87+W87+AA87+AE87+AI87+AM87+AQ87+AU87+AY87+BC87+BG87+BK87+BO87+BS87+BW87+CA87+CE87</f>
        <v/>
      </c>
      <c r="CG87" s="159">
        <f>E87+I87+M87+Q87+U87+Y87+AC87+AG87+AK87+AO87+AS87+AW87+BA87+BE87+BI87+BM87+BQ87+BU87+BY87+CC87</f>
        <v/>
      </c>
      <c r="CH87" s="152">
        <f>CH86+CG87</f>
        <v/>
      </c>
      <c r="CI87" s="148" t="n"/>
      <c r="CJ87" s="148" t="n"/>
    </row>
    <row r="88" ht="15" customHeight="1" s="83">
      <c r="A88" s="148" t="n"/>
      <c r="B88" s="158" t="n">
        <v>84</v>
      </c>
      <c r="C88" s="152">
        <f>F88+J88+N88+R88+V88+Z88+AD88+AH88+AL88+AP88+AT88+AX88+BB88+BF88+BJ88+BN88+BR88+BV88+BZ88+CD88</f>
        <v/>
      </c>
      <c r="D88" s="152">
        <f>G87</f>
        <v/>
      </c>
      <c r="E88" s="159">
        <f>IF(D88&gt;0.005,D88*Debts!D8/12,0)</f>
        <v/>
      </c>
      <c r="F88" s="159" t="n">
        <v>0</v>
      </c>
      <c r="G88" s="152">
        <f>MAX(0,D88+E88-F88)</f>
        <v/>
      </c>
      <c r="H88" s="152">
        <f>K87</f>
        <v/>
      </c>
      <c r="I88" s="159">
        <f>IF(H88&gt;0.005,H88*Debts!D9/12,0)</f>
        <v/>
      </c>
      <c r="J88" s="159" t="n">
        <v>0</v>
      </c>
      <c r="K88" s="152">
        <f>MAX(0,H88+I88-J88)</f>
        <v/>
      </c>
      <c r="L88" s="152">
        <f>O87</f>
        <v/>
      </c>
      <c r="M88" s="159">
        <f>IF(L88&gt;0.005,L88*Debts!D10/12,0)</f>
        <v/>
      </c>
      <c r="N88" s="159" t="n">
        <v>0</v>
      </c>
      <c r="O88" s="152">
        <f>MAX(0,L88+M88-N88)</f>
        <v/>
      </c>
      <c r="P88" s="152">
        <f>S87</f>
        <v/>
      </c>
      <c r="Q88" s="159">
        <f>IF(P88&gt;0.005,P88*Debts!D11/12,0)</f>
        <v/>
      </c>
      <c r="R88" s="159" t="n">
        <v>0</v>
      </c>
      <c r="S88" s="152">
        <f>MAX(0,P88+Q88-R88)</f>
        <v/>
      </c>
      <c r="T88" s="152">
        <f>W87</f>
        <v/>
      </c>
      <c r="U88" s="159">
        <f>IF(T88&gt;0.005,T88*Debts!D12/12,0)</f>
        <v/>
      </c>
      <c r="V88" s="159" t="n">
        <v>0</v>
      </c>
      <c r="W88" s="152">
        <f>MAX(0,T88+U88-V88)</f>
        <v/>
      </c>
      <c r="X88" s="152">
        <f>AA87</f>
        <v/>
      </c>
      <c r="Y88" s="159">
        <f>IF(X88&gt;0.005,X88*Debts!D13/12,0)</f>
        <v/>
      </c>
      <c r="Z88" s="159" t="n">
        <v>0</v>
      </c>
      <c r="AA88" s="152">
        <f>MAX(0,X88+Y88-Z88)</f>
        <v/>
      </c>
      <c r="AB88" s="152">
        <f>AE87</f>
        <v/>
      </c>
      <c r="AC88" s="159">
        <f>IF(AB88&gt;0.005,AB88*Debts!D14/12,0)</f>
        <v/>
      </c>
      <c r="AD88" s="159" t="n">
        <v>0</v>
      </c>
      <c r="AE88" s="152">
        <f>MAX(0,AB88+AC88-AD88)</f>
        <v/>
      </c>
      <c r="AF88" s="152">
        <f>AI87</f>
        <v/>
      </c>
      <c r="AG88" s="159">
        <f>IF(AF88&gt;0.005,AF88*Debts!D15/12,0)</f>
        <v/>
      </c>
      <c r="AH88" s="159" t="n">
        <v>0</v>
      </c>
      <c r="AI88" s="152">
        <f>MAX(0,AF88+AG88-AH88)</f>
        <v/>
      </c>
      <c r="AJ88" s="152">
        <f>AM87</f>
        <v/>
      </c>
      <c r="AK88" s="159">
        <f>IF(AJ88&gt;0.005,AJ88*Debts!D16/12,0)</f>
        <v/>
      </c>
      <c r="AL88" s="159" t="n">
        <v>0</v>
      </c>
      <c r="AM88" s="152">
        <f>MAX(0,AJ88+AK88-AL88)</f>
        <v/>
      </c>
      <c r="AN88" s="152">
        <f>AQ87</f>
        <v/>
      </c>
      <c r="AO88" s="159">
        <f>IF(AN88&gt;0.005,AN88*Debts!D17/12,0)</f>
        <v/>
      </c>
      <c r="AP88" s="159" t="n">
        <v>0</v>
      </c>
      <c r="AQ88" s="152">
        <f>MAX(0,AN88+AO88-AP88)</f>
        <v/>
      </c>
      <c r="AR88" s="152">
        <f>AU87</f>
        <v/>
      </c>
      <c r="AS88" s="159">
        <f>IF(AR88&gt;0.005,AR88*Debts!D18/12,0)</f>
        <v/>
      </c>
      <c r="AT88" s="159" t="n">
        <v>0</v>
      </c>
      <c r="AU88" s="152">
        <f>MAX(0,AR88+AS88-AT88)</f>
        <v/>
      </c>
      <c r="AV88" s="152">
        <f>AY87</f>
        <v/>
      </c>
      <c r="AW88" s="159">
        <f>IF(AV88&gt;0.005,AV88*Debts!D19/12,0)</f>
        <v/>
      </c>
      <c r="AX88" s="159" t="n">
        <v>0</v>
      </c>
      <c r="AY88" s="152">
        <f>MAX(0,AV88+AW88-AX88)</f>
        <v/>
      </c>
      <c r="AZ88" s="152">
        <f>BC87</f>
        <v/>
      </c>
      <c r="BA88" s="159">
        <f>IF(AZ88&gt;0.005,AZ88*Debts!D20/12,0)</f>
        <v/>
      </c>
      <c r="BB88" s="159" t="n">
        <v>0</v>
      </c>
      <c r="BC88" s="152">
        <f>MAX(0,AZ88+BA88-BB88)</f>
        <v/>
      </c>
      <c r="BD88" s="152">
        <f>BG87</f>
        <v/>
      </c>
      <c r="BE88" s="159">
        <f>IF(BD88&gt;0.005,BD88*Debts!D21/12,0)</f>
        <v/>
      </c>
      <c r="BF88" s="159" t="n">
        <v>0</v>
      </c>
      <c r="BG88" s="152">
        <f>MAX(0,BD88+BE88-BF88)</f>
        <v/>
      </c>
      <c r="BH88" s="152">
        <f>BK87</f>
        <v/>
      </c>
      <c r="BI88" s="159">
        <f>IF(BH88&gt;0.005,BH88*Debts!D22/12,0)</f>
        <v/>
      </c>
      <c r="BJ88" s="159" t="n">
        <v>0</v>
      </c>
      <c r="BK88" s="152">
        <f>MAX(0,BH88+BI88-BJ88)</f>
        <v/>
      </c>
      <c r="BL88" s="152">
        <f>BO87</f>
        <v/>
      </c>
      <c r="BM88" s="159">
        <f>IF(BL88&gt;0.005,BL88*Debts!D23/12,0)</f>
        <v/>
      </c>
      <c r="BN88" s="159" t="n">
        <v>0</v>
      </c>
      <c r="BO88" s="152">
        <f>MAX(0,BL88+BM88-BN88)</f>
        <v/>
      </c>
      <c r="BP88" s="152">
        <f>BS87</f>
        <v/>
      </c>
      <c r="BQ88" s="159">
        <f>IF(BP88&gt;0.005,BP88*Debts!D24/12,0)</f>
        <v/>
      </c>
      <c r="BR88" s="159" t="n">
        <v>0</v>
      </c>
      <c r="BS88" s="152">
        <f>MAX(0,BP88+BQ88-BR88)</f>
        <v/>
      </c>
      <c r="BT88" s="152">
        <f>BW87</f>
        <v/>
      </c>
      <c r="BU88" s="159">
        <f>IF(BT88&gt;0.005,BT88*Debts!D25/12,0)</f>
        <v/>
      </c>
      <c r="BV88" s="159" t="n">
        <v>0</v>
      </c>
      <c r="BW88" s="152">
        <f>MAX(0,BT88+BU88-BV88)</f>
        <v/>
      </c>
      <c r="BX88" s="152">
        <f>CA87</f>
        <v/>
      </c>
      <c r="BY88" s="159">
        <f>IF(BX88&gt;0.005,BX88*Debts!D26/12,0)</f>
        <v/>
      </c>
      <c r="BZ88" s="159" t="n">
        <v>0</v>
      </c>
      <c r="CA88" s="152">
        <f>MAX(0,BX88+BY88-BZ88)</f>
        <v/>
      </c>
      <c r="CB88" s="152">
        <f>CE87</f>
        <v/>
      </c>
      <c r="CC88" s="159">
        <f>IF(CB88&gt;0.005,CB88*Debts!D27/12,0)</f>
        <v/>
      </c>
      <c r="CD88" s="159" t="n">
        <v>0</v>
      </c>
      <c r="CE88" s="152">
        <f>MAX(0,CB88+CC88-CD88)</f>
        <v/>
      </c>
      <c r="CF88" s="152">
        <f>G88+K88+O88+S88+W88+AA88+AE88+AI88+AM88+AQ88+AU88+AY88+BC88+BG88+BK88+BO88+BS88+BW88+CA88+CE88</f>
        <v/>
      </c>
      <c r="CG88" s="159">
        <f>E88+I88+M88+Q88+U88+Y88+AC88+AG88+AK88+AO88+AS88+AW88+BA88+BE88+BI88+BM88+BQ88+BU88+BY88+CC88</f>
        <v/>
      </c>
      <c r="CH88" s="152">
        <f>CH87+CG88</f>
        <v/>
      </c>
      <c r="CI88" s="148" t="n"/>
      <c r="CJ88" s="148" t="n"/>
    </row>
    <row r="89" ht="15" customHeight="1" s="83">
      <c r="A89" s="148" t="n"/>
      <c r="B89" s="158" t="n">
        <v>85</v>
      </c>
      <c r="C89" s="152">
        <f>F89+J89+N89+R89+V89+Z89+AD89+AH89+AL89+AP89+AT89+AX89+BB89+BF89+BJ89+BN89+BR89+BV89+BZ89+CD89</f>
        <v/>
      </c>
      <c r="D89" s="152">
        <f>G88</f>
        <v/>
      </c>
      <c r="E89" s="159">
        <f>IF(D89&gt;0.005,D89*Debts!D8/12,0)</f>
        <v/>
      </c>
      <c r="F89" s="159" t="n">
        <v>0</v>
      </c>
      <c r="G89" s="152">
        <f>MAX(0,D89+E89-F89)</f>
        <v/>
      </c>
      <c r="H89" s="152">
        <f>K88</f>
        <v/>
      </c>
      <c r="I89" s="159">
        <f>IF(H89&gt;0.005,H89*Debts!D9/12,0)</f>
        <v/>
      </c>
      <c r="J89" s="159" t="n">
        <v>0</v>
      </c>
      <c r="K89" s="152">
        <f>MAX(0,H89+I89-J89)</f>
        <v/>
      </c>
      <c r="L89" s="152">
        <f>O88</f>
        <v/>
      </c>
      <c r="M89" s="159">
        <f>IF(L89&gt;0.005,L89*Debts!D10/12,0)</f>
        <v/>
      </c>
      <c r="N89" s="159" t="n">
        <v>0</v>
      </c>
      <c r="O89" s="152">
        <f>MAX(0,L89+M89-N89)</f>
        <v/>
      </c>
      <c r="P89" s="152">
        <f>S88</f>
        <v/>
      </c>
      <c r="Q89" s="159">
        <f>IF(P89&gt;0.005,P89*Debts!D11/12,0)</f>
        <v/>
      </c>
      <c r="R89" s="159" t="n">
        <v>0</v>
      </c>
      <c r="S89" s="152">
        <f>MAX(0,P89+Q89-R89)</f>
        <v/>
      </c>
      <c r="T89" s="152">
        <f>W88</f>
        <v/>
      </c>
      <c r="U89" s="159">
        <f>IF(T89&gt;0.005,T89*Debts!D12/12,0)</f>
        <v/>
      </c>
      <c r="V89" s="159" t="n">
        <v>0</v>
      </c>
      <c r="W89" s="152">
        <f>MAX(0,T89+U89-V89)</f>
        <v/>
      </c>
      <c r="X89" s="152">
        <f>AA88</f>
        <v/>
      </c>
      <c r="Y89" s="159">
        <f>IF(X89&gt;0.005,X89*Debts!D13/12,0)</f>
        <v/>
      </c>
      <c r="Z89" s="159" t="n">
        <v>0</v>
      </c>
      <c r="AA89" s="152">
        <f>MAX(0,X89+Y89-Z89)</f>
        <v/>
      </c>
      <c r="AB89" s="152">
        <f>AE88</f>
        <v/>
      </c>
      <c r="AC89" s="159">
        <f>IF(AB89&gt;0.005,AB89*Debts!D14/12,0)</f>
        <v/>
      </c>
      <c r="AD89" s="159" t="n">
        <v>0</v>
      </c>
      <c r="AE89" s="152">
        <f>MAX(0,AB89+AC89-AD89)</f>
        <v/>
      </c>
      <c r="AF89" s="152">
        <f>AI88</f>
        <v/>
      </c>
      <c r="AG89" s="159">
        <f>IF(AF89&gt;0.005,AF89*Debts!D15/12,0)</f>
        <v/>
      </c>
      <c r="AH89" s="159" t="n">
        <v>0</v>
      </c>
      <c r="AI89" s="152">
        <f>MAX(0,AF89+AG89-AH89)</f>
        <v/>
      </c>
      <c r="AJ89" s="152">
        <f>AM88</f>
        <v/>
      </c>
      <c r="AK89" s="159">
        <f>IF(AJ89&gt;0.005,AJ89*Debts!D16/12,0)</f>
        <v/>
      </c>
      <c r="AL89" s="159" t="n">
        <v>0</v>
      </c>
      <c r="AM89" s="152">
        <f>MAX(0,AJ89+AK89-AL89)</f>
        <v/>
      </c>
      <c r="AN89" s="152">
        <f>AQ88</f>
        <v/>
      </c>
      <c r="AO89" s="159">
        <f>IF(AN89&gt;0.005,AN89*Debts!D17/12,0)</f>
        <v/>
      </c>
      <c r="AP89" s="159" t="n">
        <v>0</v>
      </c>
      <c r="AQ89" s="152">
        <f>MAX(0,AN89+AO89-AP89)</f>
        <v/>
      </c>
      <c r="AR89" s="152">
        <f>AU88</f>
        <v/>
      </c>
      <c r="AS89" s="159">
        <f>IF(AR89&gt;0.005,AR89*Debts!D18/12,0)</f>
        <v/>
      </c>
      <c r="AT89" s="159" t="n">
        <v>0</v>
      </c>
      <c r="AU89" s="152">
        <f>MAX(0,AR89+AS89-AT89)</f>
        <v/>
      </c>
      <c r="AV89" s="152">
        <f>AY88</f>
        <v/>
      </c>
      <c r="AW89" s="159">
        <f>IF(AV89&gt;0.005,AV89*Debts!D19/12,0)</f>
        <v/>
      </c>
      <c r="AX89" s="159" t="n">
        <v>0</v>
      </c>
      <c r="AY89" s="152">
        <f>MAX(0,AV89+AW89-AX89)</f>
        <v/>
      </c>
      <c r="AZ89" s="152">
        <f>BC88</f>
        <v/>
      </c>
      <c r="BA89" s="159">
        <f>IF(AZ89&gt;0.005,AZ89*Debts!D20/12,0)</f>
        <v/>
      </c>
      <c r="BB89" s="159" t="n">
        <v>0</v>
      </c>
      <c r="BC89" s="152">
        <f>MAX(0,AZ89+BA89-BB89)</f>
        <v/>
      </c>
      <c r="BD89" s="152">
        <f>BG88</f>
        <v/>
      </c>
      <c r="BE89" s="159">
        <f>IF(BD89&gt;0.005,BD89*Debts!D21/12,0)</f>
        <v/>
      </c>
      <c r="BF89" s="159" t="n">
        <v>0</v>
      </c>
      <c r="BG89" s="152">
        <f>MAX(0,BD89+BE89-BF89)</f>
        <v/>
      </c>
      <c r="BH89" s="152">
        <f>BK88</f>
        <v/>
      </c>
      <c r="BI89" s="159">
        <f>IF(BH89&gt;0.005,BH89*Debts!D22/12,0)</f>
        <v/>
      </c>
      <c r="BJ89" s="159" t="n">
        <v>0</v>
      </c>
      <c r="BK89" s="152">
        <f>MAX(0,BH89+BI89-BJ89)</f>
        <v/>
      </c>
      <c r="BL89" s="152">
        <f>BO88</f>
        <v/>
      </c>
      <c r="BM89" s="159">
        <f>IF(BL89&gt;0.005,BL89*Debts!D23/12,0)</f>
        <v/>
      </c>
      <c r="BN89" s="159" t="n">
        <v>0</v>
      </c>
      <c r="BO89" s="152">
        <f>MAX(0,BL89+BM89-BN89)</f>
        <v/>
      </c>
      <c r="BP89" s="152">
        <f>BS88</f>
        <v/>
      </c>
      <c r="BQ89" s="159">
        <f>IF(BP89&gt;0.005,BP89*Debts!D24/12,0)</f>
        <v/>
      </c>
      <c r="BR89" s="159" t="n">
        <v>0</v>
      </c>
      <c r="BS89" s="152">
        <f>MAX(0,BP89+BQ89-BR89)</f>
        <v/>
      </c>
      <c r="BT89" s="152">
        <f>BW88</f>
        <v/>
      </c>
      <c r="BU89" s="159">
        <f>IF(BT89&gt;0.005,BT89*Debts!D25/12,0)</f>
        <v/>
      </c>
      <c r="BV89" s="159" t="n">
        <v>0</v>
      </c>
      <c r="BW89" s="152">
        <f>MAX(0,BT89+BU89-BV89)</f>
        <v/>
      </c>
      <c r="BX89" s="152">
        <f>CA88</f>
        <v/>
      </c>
      <c r="BY89" s="159">
        <f>IF(BX89&gt;0.005,BX89*Debts!D26/12,0)</f>
        <v/>
      </c>
      <c r="BZ89" s="159" t="n">
        <v>0</v>
      </c>
      <c r="CA89" s="152">
        <f>MAX(0,BX89+BY89-BZ89)</f>
        <v/>
      </c>
      <c r="CB89" s="152">
        <f>CE88</f>
        <v/>
      </c>
      <c r="CC89" s="159">
        <f>IF(CB89&gt;0.005,CB89*Debts!D27/12,0)</f>
        <v/>
      </c>
      <c r="CD89" s="159" t="n">
        <v>0</v>
      </c>
      <c r="CE89" s="152">
        <f>MAX(0,CB89+CC89-CD89)</f>
        <v/>
      </c>
      <c r="CF89" s="152">
        <f>G89+K89+O89+S89+W89+AA89+AE89+AI89+AM89+AQ89+AU89+AY89+BC89+BG89+BK89+BO89+BS89+BW89+CA89+CE89</f>
        <v/>
      </c>
      <c r="CG89" s="159">
        <f>E89+I89+M89+Q89+U89+Y89+AC89+AG89+AK89+AO89+AS89+AW89+BA89+BE89+BI89+BM89+BQ89+BU89+BY89+CC89</f>
        <v/>
      </c>
      <c r="CH89" s="152">
        <f>CH88+CG89</f>
        <v/>
      </c>
      <c r="CI89" s="148" t="n"/>
      <c r="CJ89" s="148" t="n"/>
    </row>
    <row r="90" ht="15" customHeight="1" s="83">
      <c r="A90" s="148" t="n"/>
      <c r="B90" s="158" t="n">
        <v>86</v>
      </c>
      <c r="C90" s="152">
        <f>F90+J90+N90+R90+V90+Z90+AD90+AH90+AL90+AP90+AT90+AX90+BB90+BF90+BJ90+BN90+BR90+BV90+BZ90+CD90</f>
        <v/>
      </c>
      <c r="D90" s="152">
        <f>G89</f>
        <v/>
      </c>
      <c r="E90" s="159">
        <f>IF(D90&gt;0.005,D90*Debts!D8/12,0)</f>
        <v/>
      </c>
      <c r="F90" s="159" t="n">
        <v>0</v>
      </c>
      <c r="G90" s="152">
        <f>MAX(0,D90+E90-F90)</f>
        <v/>
      </c>
      <c r="H90" s="152">
        <f>K89</f>
        <v/>
      </c>
      <c r="I90" s="159">
        <f>IF(H90&gt;0.005,H90*Debts!D9/12,0)</f>
        <v/>
      </c>
      <c r="J90" s="159" t="n">
        <v>0</v>
      </c>
      <c r="K90" s="152">
        <f>MAX(0,H90+I90-J90)</f>
        <v/>
      </c>
      <c r="L90" s="152">
        <f>O89</f>
        <v/>
      </c>
      <c r="M90" s="159">
        <f>IF(L90&gt;0.005,L90*Debts!D10/12,0)</f>
        <v/>
      </c>
      <c r="N90" s="159" t="n">
        <v>0</v>
      </c>
      <c r="O90" s="152">
        <f>MAX(0,L90+M90-N90)</f>
        <v/>
      </c>
      <c r="P90" s="152">
        <f>S89</f>
        <v/>
      </c>
      <c r="Q90" s="159">
        <f>IF(P90&gt;0.005,P90*Debts!D11/12,0)</f>
        <v/>
      </c>
      <c r="R90" s="159" t="n">
        <v>0</v>
      </c>
      <c r="S90" s="152">
        <f>MAX(0,P90+Q90-R90)</f>
        <v/>
      </c>
      <c r="T90" s="152">
        <f>W89</f>
        <v/>
      </c>
      <c r="U90" s="159">
        <f>IF(T90&gt;0.005,T90*Debts!D12/12,0)</f>
        <v/>
      </c>
      <c r="V90" s="159" t="n">
        <v>0</v>
      </c>
      <c r="W90" s="152">
        <f>MAX(0,T90+U90-V90)</f>
        <v/>
      </c>
      <c r="X90" s="152">
        <f>AA89</f>
        <v/>
      </c>
      <c r="Y90" s="159">
        <f>IF(X90&gt;0.005,X90*Debts!D13/12,0)</f>
        <v/>
      </c>
      <c r="Z90" s="159" t="n">
        <v>0</v>
      </c>
      <c r="AA90" s="152">
        <f>MAX(0,X90+Y90-Z90)</f>
        <v/>
      </c>
      <c r="AB90" s="152">
        <f>AE89</f>
        <v/>
      </c>
      <c r="AC90" s="159">
        <f>IF(AB90&gt;0.005,AB90*Debts!D14/12,0)</f>
        <v/>
      </c>
      <c r="AD90" s="159" t="n">
        <v>0</v>
      </c>
      <c r="AE90" s="152">
        <f>MAX(0,AB90+AC90-AD90)</f>
        <v/>
      </c>
      <c r="AF90" s="152">
        <f>AI89</f>
        <v/>
      </c>
      <c r="AG90" s="159">
        <f>IF(AF90&gt;0.005,AF90*Debts!D15/12,0)</f>
        <v/>
      </c>
      <c r="AH90" s="159" t="n">
        <v>0</v>
      </c>
      <c r="AI90" s="152">
        <f>MAX(0,AF90+AG90-AH90)</f>
        <v/>
      </c>
      <c r="AJ90" s="152">
        <f>AM89</f>
        <v/>
      </c>
      <c r="AK90" s="159">
        <f>IF(AJ90&gt;0.005,AJ90*Debts!D16/12,0)</f>
        <v/>
      </c>
      <c r="AL90" s="159" t="n">
        <v>0</v>
      </c>
      <c r="AM90" s="152">
        <f>MAX(0,AJ90+AK90-AL90)</f>
        <v/>
      </c>
      <c r="AN90" s="152">
        <f>AQ89</f>
        <v/>
      </c>
      <c r="AO90" s="159">
        <f>IF(AN90&gt;0.005,AN90*Debts!D17/12,0)</f>
        <v/>
      </c>
      <c r="AP90" s="159" t="n">
        <v>0</v>
      </c>
      <c r="AQ90" s="152">
        <f>MAX(0,AN90+AO90-AP90)</f>
        <v/>
      </c>
      <c r="AR90" s="152">
        <f>AU89</f>
        <v/>
      </c>
      <c r="AS90" s="159">
        <f>IF(AR90&gt;0.005,AR90*Debts!D18/12,0)</f>
        <v/>
      </c>
      <c r="AT90" s="159" t="n">
        <v>0</v>
      </c>
      <c r="AU90" s="152">
        <f>MAX(0,AR90+AS90-AT90)</f>
        <v/>
      </c>
      <c r="AV90" s="152">
        <f>AY89</f>
        <v/>
      </c>
      <c r="AW90" s="159">
        <f>IF(AV90&gt;0.005,AV90*Debts!D19/12,0)</f>
        <v/>
      </c>
      <c r="AX90" s="159" t="n">
        <v>0</v>
      </c>
      <c r="AY90" s="152">
        <f>MAX(0,AV90+AW90-AX90)</f>
        <v/>
      </c>
      <c r="AZ90" s="152">
        <f>BC89</f>
        <v/>
      </c>
      <c r="BA90" s="159">
        <f>IF(AZ90&gt;0.005,AZ90*Debts!D20/12,0)</f>
        <v/>
      </c>
      <c r="BB90" s="159" t="n">
        <v>0</v>
      </c>
      <c r="BC90" s="152">
        <f>MAX(0,AZ90+BA90-BB90)</f>
        <v/>
      </c>
      <c r="BD90" s="152">
        <f>BG89</f>
        <v/>
      </c>
      <c r="BE90" s="159">
        <f>IF(BD90&gt;0.005,BD90*Debts!D21/12,0)</f>
        <v/>
      </c>
      <c r="BF90" s="159" t="n">
        <v>0</v>
      </c>
      <c r="BG90" s="152">
        <f>MAX(0,BD90+BE90-BF90)</f>
        <v/>
      </c>
      <c r="BH90" s="152">
        <f>BK89</f>
        <v/>
      </c>
      <c r="BI90" s="159">
        <f>IF(BH90&gt;0.005,BH90*Debts!D22/12,0)</f>
        <v/>
      </c>
      <c r="BJ90" s="159" t="n">
        <v>0</v>
      </c>
      <c r="BK90" s="152">
        <f>MAX(0,BH90+BI90-BJ90)</f>
        <v/>
      </c>
      <c r="BL90" s="152">
        <f>BO89</f>
        <v/>
      </c>
      <c r="BM90" s="159">
        <f>IF(BL90&gt;0.005,BL90*Debts!D23/12,0)</f>
        <v/>
      </c>
      <c r="BN90" s="159" t="n">
        <v>0</v>
      </c>
      <c r="BO90" s="152">
        <f>MAX(0,BL90+BM90-BN90)</f>
        <v/>
      </c>
      <c r="BP90" s="152">
        <f>BS89</f>
        <v/>
      </c>
      <c r="BQ90" s="159">
        <f>IF(BP90&gt;0.005,BP90*Debts!D24/12,0)</f>
        <v/>
      </c>
      <c r="BR90" s="159" t="n">
        <v>0</v>
      </c>
      <c r="BS90" s="152">
        <f>MAX(0,BP90+BQ90-BR90)</f>
        <v/>
      </c>
      <c r="BT90" s="152">
        <f>BW89</f>
        <v/>
      </c>
      <c r="BU90" s="159">
        <f>IF(BT90&gt;0.005,BT90*Debts!D25/12,0)</f>
        <v/>
      </c>
      <c r="BV90" s="159" t="n">
        <v>0</v>
      </c>
      <c r="BW90" s="152">
        <f>MAX(0,BT90+BU90-BV90)</f>
        <v/>
      </c>
      <c r="BX90" s="152">
        <f>CA89</f>
        <v/>
      </c>
      <c r="BY90" s="159">
        <f>IF(BX90&gt;0.005,BX90*Debts!D26/12,0)</f>
        <v/>
      </c>
      <c r="BZ90" s="159" t="n">
        <v>0</v>
      </c>
      <c r="CA90" s="152">
        <f>MAX(0,BX90+BY90-BZ90)</f>
        <v/>
      </c>
      <c r="CB90" s="152">
        <f>CE89</f>
        <v/>
      </c>
      <c r="CC90" s="159">
        <f>IF(CB90&gt;0.005,CB90*Debts!D27/12,0)</f>
        <v/>
      </c>
      <c r="CD90" s="159" t="n">
        <v>0</v>
      </c>
      <c r="CE90" s="152">
        <f>MAX(0,CB90+CC90-CD90)</f>
        <v/>
      </c>
      <c r="CF90" s="152">
        <f>G90+K90+O90+S90+W90+AA90+AE90+AI90+AM90+AQ90+AU90+AY90+BC90+BG90+BK90+BO90+BS90+BW90+CA90+CE90</f>
        <v/>
      </c>
      <c r="CG90" s="159">
        <f>E90+I90+M90+Q90+U90+Y90+AC90+AG90+AK90+AO90+AS90+AW90+BA90+BE90+BI90+BM90+BQ90+BU90+BY90+CC90</f>
        <v/>
      </c>
      <c r="CH90" s="152">
        <f>CH89+CG90</f>
        <v/>
      </c>
      <c r="CI90" s="148" t="n"/>
      <c r="CJ90" s="148" t="n"/>
    </row>
    <row r="91" ht="15" customHeight="1" s="83">
      <c r="A91" s="148" t="n"/>
      <c r="B91" s="158" t="n">
        <v>87</v>
      </c>
      <c r="C91" s="152">
        <f>F91+J91+N91+R91+V91+Z91+AD91+AH91+AL91+AP91+AT91+AX91+BB91+BF91+BJ91+BN91+BR91+BV91+BZ91+CD91</f>
        <v/>
      </c>
      <c r="D91" s="152">
        <f>G90</f>
        <v/>
      </c>
      <c r="E91" s="159">
        <f>IF(D91&gt;0.005,D91*Debts!D8/12,0)</f>
        <v/>
      </c>
      <c r="F91" s="159" t="n">
        <v>0</v>
      </c>
      <c r="G91" s="152">
        <f>MAX(0,D91+E91-F91)</f>
        <v/>
      </c>
      <c r="H91" s="152">
        <f>K90</f>
        <v/>
      </c>
      <c r="I91" s="159">
        <f>IF(H91&gt;0.005,H91*Debts!D9/12,0)</f>
        <v/>
      </c>
      <c r="J91" s="159" t="n">
        <v>0</v>
      </c>
      <c r="K91" s="152">
        <f>MAX(0,H91+I91-J91)</f>
        <v/>
      </c>
      <c r="L91" s="152">
        <f>O90</f>
        <v/>
      </c>
      <c r="M91" s="159">
        <f>IF(L91&gt;0.005,L91*Debts!D10/12,0)</f>
        <v/>
      </c>
      <c r="N91" s="159" t="n">
        <v>0</v>
      </c>
      <c r="O91" s="152">
        <f>MAX(0,L91+M91-N91)</f>
        <v/>
      </c>
      <c r="P91" s="152">
        <f>S90</f>
        <v/>
      </c>
      <c r="Q91" s="159">
        <f>IF(P91&gt;0.005,P91*Debts!D11/12,0)</f>
        <v/>
      </c>
      <c r="R91" s="159" t="n">
        <v>0</v>
      </c>
      <c r="S91" s="152">
        <f>MAX(0,P91+Q91-R91)</f>
        <v/>
      </c>
      <c r="T91" s="152">
        <f>W90</f>
        <v/>
      </c>
      <c r="U91" s="159">
        <f>IF(T91&gt;0.005,T91*Debts!D12/12,0)</f>
        <v/>
      </c>
      <c r="V91" s="159" t="n">
        <v>0</v>
      </c>
      <c r="W91" s="152">
        <f>MAX(0,T91+U91-V91)</f>
        <v/>
      </c>
      <c r="X91" s="152">
        <f>AA90</f>
        <v/>
      </c>
      <c r="Y91" s="159">
        <f>IF(X91&gt;0.005,X91*Debts!D13/12,0)</f>
        <v/>
      </c>
      <c r="Z91" s="159" t="n">
        <v>0</v>
      </c>
      <c r="AA91" s="152">
        <f>MAX(0,X91+Y91-Z91)</f>
        <v/>
      </c>
      <c r="AB91" s="152">
        <f>AE90</f>
        <v/>
      </c>
      <c r="AC91" s="159">
        <f>IF(AB91&gt;0.005,AB91*Debts!D14/12,0)</f>
        <v/>
      </c>
      <c r="AD91" s="159" t="n">
        <v>0</v>
      </c>
      <c r="AE91" s="152">
        <f>MAX(0,AB91+AC91-AD91)</f>
        <v/>
      </c>
      <c r="AF91" s="152">
        <f>AI90</f>
        <v/>
      </c>
      <c r="AG91" s="159">
        <f>IF(AF91&gt;0.005,AF91*Debts!D15/12,0)</f>
        <v/>
      </c>
      <c r="AH91" s="159" t="n">
        <v>0</v>
      </c>
      <c r="AI91" s="152">
        <f>MAX(0,AF91+AG91-AH91)</f>
        <v/>
      </c>
      <c r="AJ91" s="152">
        <f>AM90</f>
        <v/>
      </c>
      <c r="AK91" s="159">
        <f>IF(AJ91&gt;0.005,AJ91*Debts!D16/12,0)</f>
        <v/>
      </c>
      <c r="AL91" s="159" t="n">
        <v>0</v>
      </c>
      <c r="AM91" s="152">
        <f>MAX(0,AJ91+AK91-AL91)</f>
        <v/>
      </c>
      <c r="AN91" s="152">
        <f>AQ90</f>
        <v/>
      </c>
      <c r="AO91" s="159">
        <f>IF(AN91&gt;0.005,AN91*Debts!D17/12,0)</f>
        <v/>
      </c>
      <c r="AP91" s="159" t="n">
        <v>0</v>
      </c>
      <c r="AQ91" s="152">
        <f>MAX(0,AN91+AO91-AP91)</f>
        <v/>
      </c>
      <c r="AR91" s="152">
        <f>AU90</f>
        <v/>
      </c>
      <c r="AS91" s="159">
        <f>IF(AR91&gt;0.005,AR91*Debts!D18/12,0)</f>
        <v/>
      </c>
      <c r="AT91" s="159" t="n">
        <v>0</v>
      </c>
      <c r="AU91" s="152">
        <f>MAX(0,AR91+AS91-AT91)</f>
        <v/>
      </c>
      <c r="AV91" s="152">
        <f>AY90</f>
        <v/>
      </c>
      <c r="AW91" s="159">
        <f>IF(AV91&gt;0.005,AV91*Debts!D19/12,0)</f>
        <v/>
      </c>
      <c r="AX91" s="159" t="n">
        <v>0</v>
      </c>
      <c r="AY91" s="152">
        <f>MAX(0,AV91+AW91-AX91)</f>
        <v/>
      </c>
      <c r="AZ91" s="152">
        <f>BC90</f>
        <v/>
      </c>
      <c r="BA91" s="159">
        <f>IF(AZ91&gt;0.005,AZ91*Debts!D20/12,0)</f>
        <v/>
      </c>
      <c r="BB91" s="159" t="n">
        <v>0</v>
      </c>
      <c r="BC91" s="152">
        <f>MAX(0,AZ91+BA91-BB91)</f>
        <v/>
      </c>
      <c r="BD91" s="152">
        <f>BG90</f>
        <v/>
      </c>
      <c r="BE91" s="159">
        <f>IF(BD91&gt;0.005,BD91*Debts!D21/12,0)</f>
        <v/>
      </c>
      <c r="BF91" s="159" t="n">
        <v>0</v>
      </c>
      <c r="BG91" s="152">
        <f>MAX(0,BD91+BE91-BF91)</f>
        <v/>
      </c>
      <c r="BH91" s="152">
        <f>BK90</f>
        <v/>
      </c>
      <c r="BI91" s="159">
        <f>IF(BH91&gt;0.005,BH91*Debts!D22/12,0)</f>
        <v/>
      </c>
      <c r="BJ91" s="159" t="n">
        <v>0</v>
      </c>
      <c r="BK91" s="152">
        <f>MAX(0,BH91+BI91-BJ91)</f>
        <v/>
      </c>
      <c r="BL91" s="152">
        <f>BO90</f>
        <v/>
      </c>
      <c r="BM91" s="159">
        <f>IF(BL91&gt;0.005,BL91*Debts!D23/12,0)</f>
        <v/>
      </c>
      <c r="BN91" s="159" t="n">
        <v>0</v>
      </c>
      <c r="BO91" s="152">
        <f>MAX(0,BL91+BM91-BN91)</f>
        <v/>
      </c>
      <c r="BP91" s="152">
        <f>BS90</f>
        <v/>
      </c>
      <c r="BQ91" s="159">
        <f>IF(BP91&gt;0.005,BP91*Debts!D24/12,0)</f>
        <v/>
      </c>
      <c r="BR91" s="159" t="n">
        <v>0</v>
      </c>
      <c r="BS91" s="152">
        <f>MAX(0,BP91+BQ91-BR91)</f>
        <v/>
      </c>
      <c r="BT91" s="152">
        <f>BW90</f>
        <v/>
      </c>
      <c r="BU91" s="159">
        <f>IF(BT91&gt;0.005,BT91*Debts!D25/12,0)</f>
        <v/>
      </c>
      <c r="BV91" s="159" t="n">
        <v>0</v>
      </c>
      <c r="BW91" s="152">
        <f>MAX(0,BT91+BU91-BV91)</f>
        <v/>
      </c>
      <c r="BX91" s="152">
        <f>CA90</f>
        <v/>
      </c>
      <c r="BY91" s="159">
        <f>IF(BX91&gt;0.005,BX91*Debts!D26/12,0)</f>
        <v/>
      </c>
      <c r="BZ91" s="159" t="n">
        <v>0</v>
      </c>
      <c r="CA91" s="152">
        <f>MAX(0,BX91+BY91-BZ91)</f>
        <v/>
      </c>
      <c r="CB91" s="152">
        <f>CE90</f>
        <v/>
      </c>
      <c r="CC91" s="159">
        <f>IF(CB91&gt;0.005,CB91*Debts!D27/12,0)</f>
        <v/>
      </c>
      <c r="CD91" s="159" t="n">
        <v>0</v>
      </c>
      <c r="CE91" s="152">
        <f>MAX(0,CB91+CC91-CD91)</f>
        <v/>
      </c>
      <c r="CF91" s="152">
        <f>G91+K91+O91+S91+W91+AA91+AE91+AI91+AM91+AQ91+AU91+AY91+BC91+BG91+BK91+BO91+BS91+BW91+CA91+CE91</f>
        <v/>
      </c>
      <c r="CG91" s="159">
        <f>E91+I91+M91+Q91+U91+Y91+AC91+AG91+AK91+AO91+AS91+AW91+BA91+BE91+BI91+BM91+BQ91+BU91+BY91+CC91</f>
        <v/>
      </c>
      <c r="CH91" s="152">
        <f>CH90+CG91</f>
        <v/>
      </c>
      <c r="CI91" s="148" t="n"/>
      <c r="CJ91" s="148" t="n"/>
    </row>
    <row r="92" ht="15" customHeight="1" s="83">
      <c r="A92" s="148" t="n"/>
      <c r="B92" s="158" t="n">
        <v>88</v>
      </c>
      <c r="C92" s="152">
        <f>F92+J92+N92+R92+V92+Z92+AD92+AH92+AL92+AP92+AT92+AX92+BB92+BF92+BJ92+BN92+BR92+BV92+BZ92+CD92</f>
        <v/>
      </c>
      <c r="D92" s="152">
        <f>G91</f>
        <v/>
      </c>
      <c r="E92" s="159">
        <f>IF(D92&gt;0.005,D92*Debts!D8/12,0)</f>
        <v/>
      </c>
      <c r="F92" s="159" t="n">
        <v>0</v>
      </c>
      <c r="G92" s="152">
        <f>MAX(0,D92+E92-F92)</f>
        <v/>
      </c>
      <c r="H92" s="152">
        <f>K91</f>
        <v/>
      </c>
      <c r="I92" s="159">
        <f>IF(H92&gt;0.005,H92*Debts!D9/12,0)</f>
        <v/>
      </c>
      <c r="J92" s="159" t="n">
        <v>0</v>
      </c>
      <c r="K92" s="152">
        <f>MAX(0,H92+I92-J92)</f>
        <v/>
      </c>
      <c r="L92" s="152">
        <f>O91</f>
        <v/>
      </c>
      <c r="M92" s="159">
        <f>IF(L92&gt;0.005,L92*Debts!D10/12,0)</f>
        <v/>
      </c>
      <c r="N92" s="159" t="n">
        <v>0</v>
      </c>
      <c r="O92" s="152">
        <f>MAX(0,L92+M92-N92)</f>
        <v/>
      </c>
      <c r="P92" s="152">
        <f>S91</f>
        <v/>
      </c>
      <c r="Q92" s="159">
        <f>IF(P92&gt;0.005,P92*Debts!D11/12,0)</f>
        <v/>
      </c>
      <c r="R92" s="159" t="n">
        <v>0</v>
      </c>
      <c r="S92" s="152">
        <f>MAX(0,P92+Q92-R92)</f>
        <v/>
      </c>
      <c r="T92" s="152">
        <f>W91</f>
        <v/>
      </c>
      <c r="U92" s="159">
        <f>IF(T92&gt;0.005,T92*Debts!D12/12,0)</f>
        <v/>
      </c>
      <c r="V92" s="159" t="n">
        <v>0</v>
      </c>
      <c r="W92" s="152">
        <f>MAX(0,T92+U92-V92)</f>
        <v/>
      </c>
      <c r="X92" s="152">
        <f>AA91</f>
        <v/>
      </c>
      <c r="Y92" s="159">
        <f>IF(X92&gt;0.005,X92*Debts!D13/12,0)</f>
        <v/>
      </c>
      <c r="Z92" s="159" t="n">
        <v>0</v>
      </c>
      <c r="AA92" s="152">
        <f>MAX(0,X92+Y92-Z92)</f>
        <v/>
      </c>
      <c r="AB92" s="152">
        <f>AE91</f>
        <v/>
      </c>
      <c r="AC92" s="159">
        <f>IF(AB92&gt;0.005,AB92*Debts!D14/12,0)</f>
        <v/>
      </c>
      <c r="AD92" s="159" t="n">
        <v>0</v>
      </c>
      <c r="AE92" s="152">
        <f>MAX(0,AB92+AC92-AD92)</f>
        <v/>
      </c>
      <c r="AF92" s="152">
        <f>AI91</f>
        <v/>
      </c>
      <c r="AG92" s="159">
        <f>IF(AF92&gt;0.005,AF92*Debts!D15/12,0)</f>
        <v/>
      </c>
      <c r="AH92" s="159" t="n">
        <v>0</v>
      </c>
      <c r="AI92" s="152">
        <f>MAX(0,AF92+AG92-AH92)</f>
        <v/>
      </c>
      <c r="AJ92" s="152">
        <f>AM91</f>
        <v/>
      </c>
      <c r="AK92" s="159">
        <f>IF(AJ92&gt;0.005,AJ92*Debts!D16/12,0)</f>
        <v/>
      </c>
      <c r="AL92" s="159" t="n">
        <v>0</v>
      </c>
      <c r="AM92" s="152">
        <f>MAX(0,AJ92+AK92-AL92)</f>
        <v/>
      </c>
      <c r="AN92" s="152">
        <f>AQ91</f>
        <v/>
      </c>
      <c r="AO92" s="159">
        <f>IF(AN92&gt;0.005,AN92*Debts!D17/12,0)</f>
        <v/>
      </c>
      <c r="AP92" s="159" t="n">
        <v>0</v>
      </c>
      <c r="AQ92" s="152">
        <f>MAX(0,AN92+AO92-AP92)</f>
        <v/>
      </c>
      <c r="AR92" s="152">
        <f>AU91</f>
        <v/>
      </c>
      <c r="AS92" s="159">
        <f>IF(AR92&gt;0.005,AR92*Debts!D18/12,0)</f>
        <v/>
      </c>
      <c r="AT92" s="159" t="n">
        <v>0</v>
      </c>
      <c r="AU92" s="152">
        <f>MAX(0,AR92+AS92-AT92)</f>
        <v/>
      </c>
      <c r="AV92" s="152">
        <f>AY91</f>
        <v/>
      </c>
      <c r="AW92" s="159">
        <f>IF(AV92&gt;0.005,AV92*Debts!D19/12,0)</f>
        <v/>
      </c>
      <c r="AX92" s="159" t="n">
        <v>0</v>
      </c>
      <c r="AY92" s="152">
        <f>MAX(0,AV92+AW92-AX92)</f>
        <v/>
      </c>
      <c r="AZ92" s="152">
        <f>BC91</f>
        <v/>
      </c>
      <c r="BA92" s="159">
        <f>IF(AZ92&gt;0.005,AZ92*Debts!D20/12,0)</f>
        <v/>
      </c>
      <c r="BB92" s="159" t="n">
        <v>0</v>
      </c>
      <c r="BC92" s="152">
        <f>MAX(0,AZ92+BA92-BB92)</f>
        <v/>
      </c>
      <c r="BD92" s="152">
        <f>BG91</f>
        <v/>
      </c>
      <c r="BE92" s="159">
        <f>IF(BD92&gt;0.005,BD92*Debts!D21/12,0)</f>
        <v/>
      </c>
      <c r="BF92" s="159" t="n">
        <v>0</v>
      </c>
      <c r="BG92" s="152">
        <f>MAX(0,BD92+BE92-BF92)</f>
        <v/>
      </c>
      <c r="BH92" s="152">
        <f>BK91</f>
        <v/>
      </c>
      <c r="BI92" s="159">
        <f>IF(BH92&gt;0.005,BH92*Debts!D22/12,0)</f>
        <v/>
      </c>
      <c r="BJ92" s="159" t="n">
        <v>0</v>
      </c>
      <c r="BK92" s="152">
        <f>MAX(0,BH92+BI92-BJ92)</f>
        <v/>
      </c>
      <c r="BL92" s="152">
        <f>BO91</f>
        <v/>
      </c>
      <c r="BM92" s="159">
        <f>IF(BL92&gt;0.005,BL92*Debts!D23/12,0)</f>
        <v/>
      </c>
      <c r="BN92" s="159" t="n">
        <v>0</v>
      </c>
      <c r="BO92" s="152">
        <f>MAX(0,BL92+BM92-BN92)</f>
        <v/>
      </c>
      <c r="BP92" s="152">
        <f>BS91</f>
        <v/>
      </c>
      <c r="BQ92" s="159">
        <f>IF(BP92&gt;0.005,BP92*Debts!D24/12,0)</f>
        <v/>
      </c>
      <c r="BR92" s="159" t="n">
        <v>0</v>
      </c>
      <c r="BS92" s="152">
        <f>MAX(0,BP92+BQ92-BR92)</f>
        <v/>
      </c>
      <c r="BT92" s="152">
        <f>BW91</f>
        <v/>
      </c>
      <c r="BU92" s="159">
        <f>IF(BT92&gt;0.005,BT92*Debts!D25/12,0)</f>
        <v/>
      </c>
      <c r="BV92" s="159" t="n">
        <v>0</v>
      </c>
      <c r="BW92" s="152">
        <f>MAX(0,BT92+BU92-BV92)</f>
        <v/>
      </c>
      <c r="BX92" s="152">
        <f>CA91</f>
        <v/>
      </c>
      <c r="BY92" s="159">
        <f>IF(BX92&gt;0.005,BX92*Debts!D26/12,0)</f>
        <v/>
      </c>
      <c r="BZ92" s="159" t="n">
        <v>0</v>
      </c>
      <c r="CA92" s="152">
        <f>MAX(0,BX92+BY92-BZ92)</f>
        <v/>
      </c>
      <c r="CB92" s="152">
        <f>CE91</f>
        <v/>
      </c>
      <c r="CC92" s="159">
        <f>IF(CB92&gt;0.005,CB92*Debts!D27/12,0)</f>
        <v/>
      </c>
      <c r="CD92" s="159" t="n">
        <v>0</v>
      </c>
      <c r="CE92" s="152">
        <f>MAX(0,CB92+CC92-CD92)</f>
        <v/>
      </c>
      <c r="CF92" s="152">
        <f>G92+K92+O92+S92+W92+AA92+AE92+AI92+AM92+AQ92+AU92+AY92+BC92+BG92+BK92+BO92+BS92+BW92+CA92+CE92</f>
        <v/>
      </c>
      <c r="CG92" s="159">
        <f>E92+I92+M92+Q92+U92+Y92+AC92+AG92+AK92+AO92+AS92+AW92+BA92+BE92+BI92+BM92+BQ92+BU92+BY92+CC92</f>
        <v/>
      </c>
      <c r="CH92" s="152">
        <f>CH91+CG92</f>
        <v/>
      </c>
      <c r="CI92" s="148" t="n"/>
      <c r="CJ92" s="148" t="n"/>
    </row>
    <row r="93" ht="15" customHeight="1" s="83">
      <c r="A93" s="148" t="n"/>
      <c r="B93" s="158" t="n">
        <v>89</v>
      </c>
      <c r="C93" s="152">
        <f>F93+J93+N93+R93+V93+Z93+AD93+AH93+AL93+AP93+AT93+AX93+BB93+BF93+BJ93+BN93+BR93+BV93+BZ93+CD93</f>
        <v/>
      </c>
      <c r="D93" s="152">
        <f>G92</f>
        <v/>
      </c>
      <c r="E93" s="159">
        <f>IF(D93&gt;0.005,D93*Debts!D8/12,0)</f>
        <v/>
      </c>
      <c r="F93" s="159" t="n">
        <v>0</v>
      </c>
      <c r="G93" s="152">
        <f>MAX(0,D93+E93-F93)</f>
        <v/>
      </c>
      <c r="H93" s="152">
        <f>K92</f>
        <v/>
      </c>
      <c r="I93" s="159">
        <f>IF(H93&gt;0.005,H93*Debts!D9/12,0)</f>
        <v/>
      </c>
      <c r="J93" s="159" t="n">
        <v>0</v>
      </c>
      <c r="K93" s="152">
        <f>MAX(0,H93+I93-J93)</f>
        <v/>
      </c>
      <c r="L93" s="152">
        <f>O92</f>
        <v/>
      </c>
      <c r="M93" s="159">
        <f>IF(L93&gt;0.005,L93*Debts!D10/12,0)</f>
        <v/>
      </c>
      <c r="N93" s="159" t="n">
        <v>0</v>
      </c>
      <c r="O93" s="152">
        <f>MAX(0,L93+M93-N93)</f>
        <v/>
      </c>
      <c r="P93" s="152">
        <f>S92</f>
        <v/>
      </c>
      <c r="Q93" s="159">
        <f>IF(P93&gt;0.005,P93*Debts!D11/12,0)</f>
        <v/>
      </c>
      <c r="R93" s="159" t="n">
        <v>0</v>
      </c>
      <c r="S93" s="152">
        <f>MAX(0,P93+Q93-R93)</f>
        <v/>
      </c>
      <c r="T93" s="152">
        <f>W92</f>
        <v/>
      </c>
      <c r="U93" s="159">
        <f>IF(T93&gt;0.005,T93*Debts!D12/12,0)</f>
        <v/>
      </c>
      <c r="V93" s="159" t="n">
        <v>0</v>
      </c>
      <c r="W93" s="152">
        <f>MAX(0,T93+U93-V93)</f>
        <v/>
      </c>
      <c r="X93" s="152">
        <f>AA92</f>
        <v/>
      </c>
      <c r="Y93" s="159">
        <f>IF(X93&gt;0.005,X93*Debts!D13/12,0)</f>
        <v/>
      </c>
      <c r="Z93" s="159" t="n">
        <v>0</v>
      </c>
      <c r="AA93" s="152">
        <f>MAX(0,X93+Y93-Z93)</f>
        <v/>
      </c>
      <c r="AB93" s="152">
        <f>AE92</f>
        <v/>
      </c>
      <c r="AC93" s="159">
        <f>IF(AB93&gt;0.005,AB93*Debts!D14/12,0)</f>
        <v/>
      </c>
      <c r="AD93" s="159" t="n">
        <v>0</v>
      </c>
      <c r="AE93" s="152">
        <f>MAX(0,AB93+AC93-AD93)</f>
        <v/>
      </c>
      <c r="AF93" s="152">
        <f>AI92</f>
        <v/>
      </c>
      <c r="AG93" s="159">
        <f>IF(AF93&gt;0.005,AF93*Debts!D15/12,0)</f>
        <v/>
      </c>
      <c r="AH93" s="159" t="n">
        <v>0</v>
      </c>
      <c r="AI93" s="152">
        <f>MAX(0,AF93+AG93-AH93)</f>
        <v/>
      </c>
      <c r="AJ93" s="152">
        <f>AM92</f>
        <v/>
      </c>
      <c r="AK93" s="159">
        <f>IF(AJ93&gt;0.005,AJ93*Debts!D16/12,0)</f>
        <v/>
      </c>
      <c r="AL93" s="159" t="n">
        <v>0</v>
      </c>
      <c r="AM93" s="152">
        <f>MAX(0,AJ93+AK93-AL93)</f>
        <v/>
      </c>
      <c r="AN93" s="152">
        <f>AQ92</f>
        <v/>
      </c>
      <c r="AO93" s="159">
        <f>IF(AN93&gt;0.005,AN93*Debts!D17/12,0)</f>
        <v/>
      </c>
      <c r="AP93" s="159" t="n">
        <v>0</v>
      </c>
      <c r="AQ93" s="152">
        <f>MAX(0,AN93+AO93-AP93)</f>
        <v/>
      </c>
      <c r="AR93" s="152">
        <f>AU92</f>
        <v/>
      </c>
      <c r="AS93" s="159">
        <f>IF(AR93&gt;0.005,AR93*Debts!D18/12,0)</f>
        <v/>
      </c>
      <c r="AT93" s="159" t="n">
        <v>0</v>
      </c>
      <c r="AU93" s="152">
        <f>MAX(0,AR93+AS93-AT93)</f>
        <v/>
      </c>
      <c r="AV93" s="152">
        <f>AY92</f>
        <v/>
      </c>
      <c r="AW93" s="159">
        <f>IF(AV93&gt;0.005,AV93*Debts!D19/12,0)</f>
        <v/>
      </c>
      <c r="AX93" s="159" t="n">
        <v>0</v>
      </c>
      <c r="AY93" s="152">
        <f>MAX(0,AV93+AW93-AX93)</f>
        <v/>
      </c>
      <c r="AZ93" s="152">
        <f>BC92</f>
        <v/>
      </c>
      <c r="BA93" s="159">
        <f>IF(AZ93&gt;0.005,AZ93*Debts!D20/12,0)</f>
        <v/>
      </c>
      <c r="BB93" s="159" t="n">
        <v>0</v>
      </c>
      <c r="BC93" s="152">
        <f>MAX(0,AZ93+BA93-BB93)</f>
        <v/>
      </c>
      <c r="BD93" s="152">
        <f>BG92</f>
        <v/>
      </c>
      <c r="BE93" s="159">
        <f>IF(BD93&gt;0.005,BD93*Debts!D21/12,0)</f>
        <v/>
      </c>
      <c r="BF93" s="159" t="n">
        <v>0</v>
      </c>
      <c r="BG93" s="152">
        <f>MAX(0,BD93+BE93-BF93)</f>
        <v/>
      </c>
      <c r="BH93" s="152">
        <f>BK92</f>
        <v/>
      </c>
      <c r="BI93" s="159">
        <f>IF(BH93&gt;0.005,BH93*Debts!D22/12,0)</f>
        <v/>
      </c>
      <c r="BJ93" s="159" t="n">
        <v>0</v>
      </c>
      <c r="BK93" s="152">
        <f>MAX(0,BH93+BI93-BJ93)</f>
        <v/>
      </c>
      <c r="BL93" s="152">
        <f>BO92</f>
        <v/>
      </c>
      <c r="BM93" s="159">
        <f>IF(BL93&gt;0.005,BL93*Debts!D23/12,0)</f>
        <v/>
      </c>
      <c r="BN93" s="159" t="n">
        <v>0</v>
      </c>
      <c r="BO93" s="152">
        <f>MAX(0,BL93+BM93-BN93)</f>
        <v/>
      </c>
      <c r="BP93" s="152">
        <f>BS92</f>
        <v/>
      </c>
      <c r="BQ93" s="159">
        <f>IF(BP93&gt;0.005,BP93*Debts!D24/12,0)</f>
        <v/>
      </c>
      <c r="BR93" s="159" t="n">
        <v>0</v>
      </c>
      <c r="BS93" s="152">
        <f>MAX(0,BP93+BQ93-BR93)</f>
        <v/>
      </c>
      <c r="BT93" s="152">
        <f>BW92</f>
        <v/>
      </c>
      <c r="BU93" s="159">
        <f>IF(BT93&gt;0.005,BT93*Debts!D25/12,0)</f>
        <v/>
      </c>
      <c r="BV93" s="159" t="n">
        <v>0</v>
      </c>
      <c r="BW93" s="152">
        <f>MAX(0,BT93+BU93-BV93)</f>
        <v/>
      </c>
      <c r="BX93" s="152">
        <f>CA92</f>
        <v/>
      </c>
      <c r="BY93" s="159">
        <f>IF(BX93&gt;0.005,BX93*Debts!D26/12,0)</f>
        <v/>
      </c>
      <c r="BZ93" s="159" t="n">
        <v>0</v>
      </c>
      <c r="CA93" s="152">
        <f>MAX(0,BX93+BY93-BZ93)</f>
        <v/>
      </c>
      <c r="CB93" s="152">
        <f>CE92</f>
        <v/>
      </c>
      <c r="CC93" s="159">
        <f>IF(CB93&gt;0.005,CB93*Debts!D27/12,0)</f>
        <v/>
      </c>
      <c r="CD93" s="159" t="n">
        <v>0</v>
      </c>
      <c r="CE93" s="152">
        <f>MAX(0,CB93+CC93-CD93)</f>
        <v/>
      </c>
      <c r="CF93" s="152">
        <f>G93+K93+O93+S93+W93+AA93+AE93+AI93+AM93+AQ93+AU93+AY93+BC93+BG93+BK93+BO93+BS93+BW93+CA93+CE93</f>
        <v/>
      </c>
      <c r="CG93" s="159">
        <f>E93+I93+M93+Q93+U93+Y93+AC93+AG93+AK93+AO93+AS93+AW93+BA93+BE93+BI93+BM93+BQ93+BU93+BY93+CC93</f>
        <v/>
      </c>
      <c r="CH93" s="152">
        <f>CH92+CG93</f>
        <v/>
      </c>
      <c r="CI93" s="148" t="n"/>
      <c r="CJ93" s="148" t="n"/>
    </row>
    <row r="94" ht="15" customHeight="1" s="83">
      <c r="A94" s="148" t="n"/>
      <c r="B94" s="158" t="n">
        <v>90</v>
      </c>
      <c r="C94" s="152">
        <f>F94+J94+N94+R94+V94+Z94+AD94+AH94+AL94+AP94+AT94+AX94+BB94+BF94+BJ94+BN94+BR94+BV94+BZ94+CD94</f>
        <v/>
      </c>
      <c r="D94" s="152">
        <f>G93</f>
        <v/>
      </c>
      <c r="E94" s="159">
        <f>IF(D94&gt;0.005,D94*Debts!D8/12,0)</f>
        <v/>
      </c>
      <c r="F94" s="159" t="n">
        <v>0</v>
      </c>
      <c r="G94" s="152">
        <f>MAX(0,D94+E94-F94)</f>
        <v/>
      </c>
      <c r="H94" s="152">
        <f>K93</f>
        <v/>
      </c>
      <c r="I94" s="159">
        <f>IF(H94&gt;0.005,H94*Debts!D9/12,0)</f>
        <v/>
      </c>
      <c r="J94" s="159" t="n">
        <v>0</v>
      </c>
      <c r="K94" s="152">
        <f>MAX(0,H94+I94-J94)</f>
        <v/>
      </c>
      <c r="L94" s="152">
        <f>O93</f>
        <v/>
      </c>
      <c r="M94" s="159">
        <f>IF(L94&gt;0.005,L94*Debts!D10/12,0)</f>
        <v/>
      </c>
      <c r="N94" s="159" t="n">
        <v>0</v>
      </c>
      <c r="O94" s="152">
        <f>MAX(0,L94+M94-N94)</f>
        <v/>
      </c>
      <c r="P94" s="152">
        <f>S93</f>
        <v/>
      </c>
      <c r="Q94" s="159">
        <f>IF(P94&gt;0.005,P94*Debts!D11/12,0)</f>
        <v/>
      </c>
      <c r="R94" s="159" t="n">
        <v>0</v>
      </c>
      <c r="S94" s="152">
        <f>MAX(0,P94+Q94-R94)</f>
        <v/>
      </c>
      <c r="T94" s="152">
        <f>W93</f>
        <v/>
      </c>
      <c r="U94" s="159">
        <f>IF(T94&gt;0.005,T94*Debts!D12/12,0)</f>
        <v/>
      </c>
      <c r="V94" s="159" t="n">
        <v>0</v>
      </c>
      <c r="W94" s="152">
        <f>MAX(0,T94+U94-V94)</f>
        <v/>
      </c>
      <c r="X94" s="152">
        <f>AA93</f>
        <v/>
      </c>
      <c r="Y94" s="159">
        <f>IF(X94&gt;0.005,X94*Debts!D13/12,0)</f>
        <v/>
      </c>
      <c r="Z94" s="159" t="n">
        <v>0</v>
      </c>
      <c r="AA94" s="152">
        <f>MAX(0,X94+Y94-Z94)</f>
        <v/>
      </c>
      <c r="AB94" s="152">
        <f>AE93</f>
        <v/>
      </c>
      <c r="AC94" s="159">
        <f>IF(AB94&gt;0.005,AB94*Debts!D14/12,0)</f>
        <v/>
      </c>
      <c r="AD94" s="159" t="n">
        <v>0</v>
      </c>
      <c r="AE94" s="152">
        <f>MAX(0,AB94+AC94-AD94)</f>
        <v/>
      </c>
      <c r="AF94" s="152">
        <f>AI93</f>
        <v/>
      </c>
      <c r="AG94" s="159">
        <f>IF(AF94&gt;0.005,AF94*Debts!D15/12,0)</f>
        <v/>
      </c>
      <c r="AH94" s="159" t="n">
        <v>0</v>
      </c>
      <c r="AI94" s="152">
        <f>MAX(0,AF94+AG94-AH94)</f>
        <v/>
      </c>
      <c r="AJ94" s="152">
        <f>AM93</f>
        <v/>
      </c>
      <c r="AK94" s="159">
        <f>IF(AJ94&gt;0.005,AJ94*Debts!D16/12,0)</f>
        <v/>
      </c>
      <c r="AL94" s="159" t="n">
        <v>0</v>
      </c>
      <c r="AM94" s="152">
        <f>MAX(0,AJ94+AK94-AL94)</f>
        <v/>
      </c>
      <c r="AN94" s="152">
        <f>AQ93</f>
        <v/>
      </c>
      <c r="AO94" s="159">
        <f>IF(AN94&gt;0.005,AN94*Debts!D17/12,0)</f>
        <v/>
      </c>
      <c r="AP94" s="159" t="n">
        <v>0</v>
      </c>
      <c r="AQ94" s="152">
        <f>MAX(0,AN94+AO94-AP94)</f>
        <v/>
      </c>
      <c r="AR94" s="152">
        <f>AU93</f>
        <v/>
      </c>
      <c r="AS94" s="159">
        <f>IF(AR94&gt;0.005,AR94*Debts!D18/12,0)</f>
        <v/>
      </c>
      <c r="AT94" s="159" t="n">
        <v>0</v>
      </c>
      <c r="AU94" s="152">
        <f>MAX(0,AR94+AS94-AT94)</f>
        <v/>
      </c>
      <c r="AV94" s="152">
        <f>AY93</f>
        <v/>
      </c>
      <c r="AW94" s="159">
        <f>IF(AV94&gt;0.005,AV94*Debts!D19/12,0)</f>
        <v/>
      </c>
      <c r="AX94" s="159" t="n">
        <v>0</v>
      </c>
      <c r="AY94" s="152">
        <f>MAX(0,AV94+AW94-AX94)</f>
        <v/>
      </c>
      <c r="AZ94" s="152">
        <f>BC93</f>
        <v/>
      </c>
      <c r="BA94" s="159">
        <f>IF(AZ94&gt;0.005,AZ94*Debts!D20/12,0)</f>
        <v/>
      </c>
      <c r="BB94" s="159" t="n">
        <v>0</v>
      </c>
      <c r="BC94" s="152">
        <f>MAX(0,AZ94+BA94-BB94)</f>
        <v/>
      </c>
      <c r="BD94" s="152">
        <f>BG93</f>
        <v/>
      </c>
      <c r="BE94" s="159">
        <f>IF(BD94&gt;0.005,BD94*Debts!D21/12,0)</f>
        <v/>
      </c>
      <c r="BF94" s="159" t="n">
        <v>0</v>
      </c>
      <c r="BG94" s="152">
        <f>MAX(0,BD94+BE94-BF94)</f>
        <v/>
      </c>
      <c r="BH94" s="152">
        <f>BK93</f>
        <v/>
      </c>
      <c r="BI94" s="159">
        <f>IF(BH94&gt;0.005,BH94*Debts!D22/12,0)</f>
        <v/>
      </c>
      <c r="BJ94" s="159" t="n">
        <v>0</v>
      </c>
      <c r="BK94" s="152">
        <f>MAX(0,BH94+BI94-BJ94)</f>
        <v/>
      </c>
      <c r="BL94" s="152">
        <f>BO93</f>
        <v/>
      </c>
      <c r="BM94" s="159">
        <f>IF(BL94&gt;0.005,BL94*Debts!D23/12,0)</f>
        <v/>
      </c>
      <c r="BN94" s="159" t="n">
        <v>0</v>
      </c>
      <c r="BO94" s="152">
        <f>MAX(0,BL94+BM94-BN94)</f>
        <v/>
      </c>
      <c r="BP94" s="152">
        <f>BS93</f>
        <v/>
      </c>
      <c r="BQ94" s="159">
        <f>IF(BP94&gt;0.005,BP94*Debts!D24/12,0)</f>
        <v/>
      </c>
      <c r="BR94" s="159" t="n">
        <v>0</v>
      </c>
      <c r="BS94" s="152">
        <f>MAX(0,BP94+BQ94-BR94)</f>
        <v/>
      </c>
      <c r="BT94" s="152">
        <f>BW93</f>
        <v/>
      </c>
      <c r="BU94" s="159">
        <f>IF(BT94&gt;0.005,BT94*Debts!D25/12,0)</f>
        <v/>
      </c>
      <c r="BV94" s="159" t="n">
        <v>0</v>
      </c>
      <c r="BW94" s="152">
        <f>MAX(0,BT94+BU94-BV94)</f>
        <v/>
      </c>
      <c r="BX94" s="152">
        <f>CA93</f>
        <v/>
      </c>
      <c r="BY94" s="159">
        <f>IF(BX94&gt;0.005,BX94*Debts!D26/12,0)</f>
        <v/>
      </c>
      <c r="BZ94" s="159" t="n">
        <v>0</v>
      </c>
      <c r="CA94" s="152">
        <f>MAX(0,BX94+BY94-BZ94)</f>
        <v/>
      </c>
      <c r="CB94" s="152">
        <f>CE93</f>
        <v/>
      </c>
      <c r="CC94" s="159">
        <f>IF(CB94&gt;0.005,CB94*Debts!D27/12,0)</f>
        <v/>
      </c>
      <c r="CD94" s="159" t="n">
        <v>0</v>
      </c>
      <c r="CE94" s="152">
        <f>MAX(0,CB94+CC94-CD94)</f>
        <v/>
      </c>
      <c r="CF94" s="152">
        <f>G94+K94+O94+S94+W94+AA94+AE94+AI94+AM94+AQ94+AU94+AY94+BC94+BG94+BK94+BO94+BS94+BW94+CA94+CE94</f>
        <v/>
      </c>
      <c r="CG94" s="159">
        <f>E94+I94+M94+Q94+U94+Y94+AC94+AG94+AK94+AO94+AS94+AW94+BA94+BE94+BI94+BM94+BQ94+BU94+BY94+CC94</f>
        <v/>
      </c>
      <c r="CH94" s="152">
        <f>CH93+CG94</f>
        <v/>
      </c>
      <c r="CI94" s="148" t="n"/>
      <c r="CJ94" s="148" t="n"/>
    </row>
    <row r="95" ht="15" customHeight="1" s="83">
      <c r="A95" s="148" t="n"/>
      <c r="B95" s="158" t="n">
        <v>91</v>
      </c>
      <c r="C95" s="152">
        <f>F95+J95+N95+R95+V95+Z95+AD95+AH95+AL95+AP95+AT95+AX95+BB95+BF95+BJ95+BN95+BR95+BV95+BZ95+CD95</f>
        <v/>
      </c>
      <c r="D95" s="152">
        <f>G94</f>
        <v/>
      </c>
      <c r="E95" s="159">
        <f>IF(D95&gt;0.005,D95*Debts!D8/12,0)</f>
        <v/>
      </c>
      <c r="F95" s="159" t="n">
        <v>0</v>
      </c>
      <c r="G95" s="152">
        <f>MAX(0,D95+E95-F95)</f>
        <v/>
      </c>
      <c r="H95" s="152">
        <f>K94</f>
        <v/>
      </c>
      <c r="I95" s="159">
        <f>IF(H95&gt;0.005,H95*Debts!D9/12,0)</f>
        <v/>
      </c>
      <c r="J95" s="159" t="n">
        <v>0</v>
      </c>
      <c r="K95" s="152">
        <f>MAX(0,H95+I95-J95)</f>
        <v/>
      </c>
      <c r="L95" s="152">
        <f>O94</f>
        <v/>
      </c>
      <c r="M95" s="159">
        <f>IF(L95&gt;0.005,L95*Debts!D10/12,0)</f>
        <v/>
      </c>
      <c r="N95" s="159" t="n">
        <v>0</v>
      </c>
      <c r="O95" s="152">
        <f>MAX(0,L95+M95-N95)</f>
        <v/>
      </c>
      <c r="P95" s="152">
        <f>S94</f>
        <v/>
      </c>
      <c r="Q95" s="159">
        <f>IF(P95&gt;0.005,P95*Debts!D11/12,0)</f>
        <v/>
      </c>
      <c r="R95" s="159" t="n">
        <v>0</v>
      </c>
      <c r="S95" s="152">
        <f>MAX(0,P95+Q95-R95)</f>
        <v/>
      </c>
      <c r="T95" s="152">
        <f>W94</f>
        <v/>
      </c>
      <c r="U95" s="159">
        <f>IF(T95&gt;0.005,T95*Debts!D12/12,0)</f>
        <v/>
      </c>
      <c r="V95" s="159" t="n">
        <v>0</v>
      </c>
      <c r="W95" s="152">
        <f>MAX(0,T95+U95-V95)</f>
        <v/>
      </c>
      <c r="X95" s="152">
        <f>AA94</f>
        <v/>
      </c>
      <c r="Y95" s="159">
        <f>IF(X95&gt;0.005,X95*Debts!D13/12,0)</f>
        <v/>
      </c>
      <c r="Z95" s="159" t="n">
        <v>0</v>
      </c>
      <c r="AA95" s="152">
        <f>MAX(0,X95+Y95-Z95)</f>
        <v/>
      </c>
      <c r="AB95" s="152">
        <f>AE94</f>
        <v/>
      </c>
      <c r="AC95" s="159">
        <f>IF(AB95&gt;0.005,AB95*Debts!D14/12,0)</f>
        <v/>
      </c>
      <c r="AD95" s="159" t="n">
        <v>0</v>
      </c>
      <c r="AE95" s="152">
        <f>MAX(0,AB95+AC95-AD95)</f>
        <v/>
      </c>
      <c r="AF95" s="152">
        <f>AI94</f>
        <v/>
      </c>
      <c r="AG95" s="159">
        <f>IF(AF95&gt;0.005,AF95*Debts!D15/12,0)</f>
        <v/>
      </c>
      <c r="AH95" s="159" t="n">
        <v>0</v>
      </c>
      <c r="AI95" s="152">
        <f>MAX(0,AF95+AG95-AH95)</f>
        <v/>
      </c>
      <c r="AJ95" s="152">
        <f>AM94</f>
        <v/>
      </c>
      <c r="AK95" s="159">
        <f>IF(AJ95&gt;0.005,AJ95*Debts!D16/12,0)</f>
        <v/>
      </c>
      <c r="AL95" s="159" t="n">
        <v>0</v>
      </c>
      <c r="AM95" s="152">
        <f>MAX(0,AJ95+AK95-AL95)</f>
        <v/>
      </c>
      <c r="AN95" s="152">
        <f>AQ94</f>
        <v/>
      </c>
      <c r="AO95" s="159">
        <f>IF(AN95&gt;0.005,AN95*Debts!D17/12,0)</f>
        <v/>
      </c>
      <c r="AP95" s="159" t="n">
        <v>0</v>
      </c>
      <c r="AQ95" s="152">
        <f>MAX(0,AN95+AO95-AP95)</f>
        <v/>
      </c>
      <c r="AR95" s="152">
        <f>AU94</f>
        <v/>
      </c>
      <c r="AS95" s="159">
        <f>IF(AR95&gt;0.005,AR95*Debts!D18/12,0)</f>
        <v/>
      </c>
      <c r="AT95" s="159" t="n">
        <v>0</v>
      </c>
      <c r="AU95" s="152">
        <f>MAX(0,AR95+AS95-AT95)</f>
        <v/>
      </c>
      <c r="AV95" s="152">
        <f>AY94</f>
        <v/>
      </c>
      <c r="AW95" s="159">
        <f>IF(AV95&gt;0.005,AV95*Debts!D19/12,0)</f>
        <v/>
      </c>
      <c r="AX95" s="159" t="n">
        <v>0</v>
      </c>
      <c r="AY95" s="152">
        <f>MAX(0,AV95+AW95-AX95)</f>
        <v/>
      </c>
      <c r="AZ95" s="152">
        <f>BC94</f>
        <v/>
      </c>
      <c r="BA95" s="159">
        <f>IF(AZ95&gt;0.005,AZ95*Debts!D20/12,0)</f>
        <v/>
      </c>
      <c r="BB95" s="159" t="n">
        <v>0</v>
      </c>
      <c r="BC95" s="152">
        <f>MAX(0,AZ95+BA95-BB95)</f>
        <v/>
      </c>
      <c r="BD95" s="152">
        <f>BG94</f>
        <v/>
      </c>
      <c r="BE95" s="159">
        <f>IF(BD95&gt;0.005,BD95*Debts!D21/12,0)</f>
        <v/>
      </c>
      <c r="BF95" s="159" t="n">
        <v>0</v>
      </c>
      <c r="BG95" s="152">
        <f>MAX(0,BD95+BE95-BF95)</f>
        <v/>
      </c>
      <c r="BH95" s="152">
        <f>BK94</f>
        <v/>
      </c>
      <c r="BI95" s="159">
        <f>IF(BH95&gt;0.005,BH95*Debts!D22/12,0)</f>
        <v/>
      </c>
      <c r="BJ95" s="159" t="n">
        <v>0</v>
      </c>
      <c r="BK95" s="152">
        <f>MAX(0,BH95+BI95-BJ95)</f>
        <v/>
      </c>
      <c r="BL95" s="152">
        <f>BO94</f>
        <v/>
      </c>
      <c r="BM95" s="159">
        <f>IF(BL95&gt;0.005,BL95*Debts!D23/12,0)</f>
        <v/>
      </c>
      <c r="BN95" s="159" t="n">
        <v>0</v>
      </c>
      <c r="BO95" s="152">
        <f>MAX(0,BL95+BM95-BN95)</f>
        <v/>
      </c>
      <c r="BP95" s="152">
        <f>BS94</f>
        <v/>
      </c>
      <c r="BQ95" s="159">
        <f>IF(BP95&gt;0.005,BP95*Debts!D24/12,0)</f>
        <v/>
      </c>
      <c r="BR95" s="159" t="n">
        <v>0</v>
      </c>
      <c r="BS95" s="152">
        <f>MAX(0,BP95+BQ95-BR95)</f>
        <v/>
      </c>
      <c r="BT95" s="152">
        <f>BW94</f>
        <v/>
      </c>
      <c r="BU95" s="159">
        <f>IF(BT95&gt;0.005,BT95*Debts!D25/12,0)</f>
        <v/>
      </c>
      <c r="BV95" s="159" t="n">
        <v>0</v>
      </c>
      <c r="BW95" s="152">
        <f>MAX(0,BT95+BU95-BV95)</f>
        <v/>
      </c>
      <c r="BX95" s="152">
        <f>CA94</f>
        <v/>
      </c>
      <c r="BY95" s="159">
        <f>IF(BX95&gt;0.005,BX95*Debts!D26/12,0)</f>
        <v/>
      </c>
      <c r="BZ95" s="159" t="n">
        <v>0</v>
      </c>
      <c r="CA95" s="152">
        <f>MAX(0,BX95+BY95-BZ95)</f>
        <v/>
      </c>
      <c r="CB95" s="152">
        <f>CE94</f>
        <v/>
      </c>
      <c r="CC95" s="159">
        <f>IF(CB95&gt;0.005,CB95*Debts!D27/12,0)</f>
        <v/>
      </c>
      <c r="CD95" s="159" t="n">
        <v>0</v>
      </c>
      <c r="CE95" s="152">
        <f>MAX(0,CB95+CC95-CD95)</f>
        <v/>
      </c>
      <c r="CF95" s="152">
        <f>G95+K95+O95+S95+W95+AA95+AE95+AI95+AM95+AQ95+AU95+AY95+BC95+BG95+BK95+BO95+BS95+BW95+CA95+CE95</f>
        <v/>
      </c>
      <c r="CG95" s="159">
        <f>E95+I95+M95+Q95+U95+Y95+AC95+AG95+AK95+AO95+AS95+AW95+BA95+BE95+BI95+BM95+BQ95+BU95+BY95+CC95</f>
        <v/>
      </c>
      <c r="CH95" s="152">
        <f>CH94+CG95</f>
        <v/>
      </c>
      <c r="CI95" s="148" t="n"/>
      <c r="CJ95" s="148" t="n"/>
    </row>
    <row r="96" ht="15" customHeight="1" s="83">
      <c r="A96" s="148" t="n"/>
      <c r="B96" s="158" t="n">
        <v>92</v>
      </c>
      <c r="C96" s="152">
        <f>F96+J96+N96+R96+V96+Z96+AD96+AH96+AL96+AP96+AT96+AX96+BB96+BF96+BJ96+BN96+BR96+BV96+BZ96+CD96</f>
        <v/>
      </c>
      <c r="D96" s="152">
        <f>G95</f>
        <v/>
      </c>
      <c r="E96" s="159">
        <f>IF(D96&gt;0.005,D96*Debts!D8/12,0)</f>
        <v/>
      </c>
      <c r="F96" s="159" t="n">
        <v>0</v>
      </c>
      <c r="G96" s="152">
        <f>MAX(0,D96+E96-F96)</f>
        <v/>
      </c>
      <c r="H96" s="152">
        <f>K95</f>
        <v/>
      </c>
      <c r="I96" s="159">
        <f>IF(H96&gt;0.005,H96*Debts!D9/12,0)</f>
        <v/>
      </c>
      <c r="J96" s="159" t="n">
        <v>0</v>
      </c>
      <c r="K96" s="152">
        <f>MAX(0,H96+I96-J96)</f>
        <v/>
      </c>
      <c r="L96" s="152">
        <f>O95</f>
        <v/>
      </c>
      <c r="M96" s="159">
        <f>IF(L96&gt;0.005,L96*Debts!D10/12,0)</f>
        <v/>
      </c>
      <c r="N96" s="159" t="n">
        <v>0</v>
      </c>
      <c r="O96" s="152">
        <f>MAX(0,L96+M96-N96)</f>
        <v/>
      </c>
      <c r="P96" s="152">
        <f>S95</f>
        <v/>
      </c>
      <c r="Q96" s="159">
        <f>IF(P96&gt;0.005,P96*Debts!D11/12,0)</f>
        <v/>
      </c>
      <c r="R96" s="159" t="n">
        <v>0</v>
      </c>
      <c r="S96" s="152">
        <f>MAX(0,P96+Q96-R96)</f>
        <v/>
      </c>
      <c r="T96" s="152">
        <f>W95</f>
        <v/>
      </c>
      <c r="U96" s="159">
        <f>IF(T96&gt;0.005,T96*Debts!D12/12,0)</f>
        <v/>
      </c>
      <c r="V96" s="159" t="n">
        <v>0</v>
      </c>
      <c r="W96" s="152">
        <f>MAX(0,T96+U96-V96)</f>
        <v/>
      </c>
      <c r="X96" s="152">
        <f>AA95</f>
        <v/>
      </c>
      <c r="Y96" s="159">
        <f>IF(X96&gt;0.005,X96*Debts!D13/12,0)</f>
        <v/>
      </c>
      <c r="Z96" s="159" t="n">
        <v>0</v>
      </c>
      <c r="AA96" s="152">
        <f>MAX(0,X96+Y96-Z96)</f>
        <v/>
      </c>
      <c r="AB96" s="152">
        <f>AE95</f>
        <v/>
      </c>
      <c r="AC96" s="159">
        <f>IF(AB96&gt;0.005,AB96*Debts!D14/12,0)</f>
        <v/>
      </c>
      <c r="AD96" s="159" t="n">
        <v>0</v>
      </c>
      <c r="AE96" s="152">
        <f>MAX(0,AB96+AC96-AD96)</f>
        <v/>
      </c>
      <c r="AF96" s="152">
        <f>AI95</f>
        <v/>
      </c>
      <c r="AG96" s="159">
        <f>IF(AF96&gt;0.005,AF96*Debts!D15/12,0)</f>
        <v/>
      </c>
      <c r="AH96" s="159" t="n">
        <v>0</v>
      </c>
      <c r="AI96" s="152">
        <f>MAX(0,AF96+AG96-AH96)</f>
        <v/>
      </c>
      <c r="AJ96" s="152">
        <f>AM95</f>
        <v/>
      </c>
      <c r="AK96" s="159">
        <f>IF(AJ96&gt;0.005,AJ96*Debts!D16/12,0)</f>
        <v/>
      </c>
      <c r="AL96" s="159" t="n">
        <v>0</v>
      </c>
      <c r="AM96" s="152">
        <f>MAX(0,AJ96+AK96-AL96)</f>
        <v/>
      </c>
      <c r="AN96" s="152">
        <f>AQ95</f>
        <v/>
      </c>
      <c r="AO96" s="159">
        <f>IF(AN96&gt;0.005,AN96*Debts!D17/12,0)</f>
        <v/>
      </c>
      <c r="AP96" s="159" t="n">
        <v>0</v>
      </c>
      <c r="AQ96" s="152">
        <f>MAX(0,AN96+AO96-AP96)</f>
        <v/>
      </c>
      <c r="AR96" s="152">
        <f>AU95</f>
        <v/>
      </c>
      <c r="AS96" s="159">
        <f>IF(AR96&gt;0.005,AR96*Debts!D18/12,0)</f>
        <v/>
      </c>
      <c r="AT96" s="159" t="n">
        <v>0</v>
      </c>
      <c r="AU96" s="152">
        <f>MAX(0,AR96+AS96-AT96)</f>
        <v/>
      </c>
      <c r="AV96" s="152">
        <f>AY95</f>
        <v/>
      </c>
      <c r="AW96" s="159">
        <f>IF(AV96&gt;0.005,AV96*Debts!D19/12,0)</f>
        <v/>
      </c>
      <c r="AX96" s="159" t="n">
        <v>0</v>
      </c>
      <c r="AY96" s="152">
        <f>MAX(0,AV96+AW96-AX96)</f>
        <v/>
      </c>
      <c r="AZ96" s="152">
        <f>BC95</f>
        <v/>
      </c>
      <c r="BA96" s="159">
        <f>IF(AZ96&gt;0.005,AZ96*Debts!D20/12,0)</f>
        <v/>
      </c>
      <c r="BB96" s="159" t="n">
        <v>0</v>
      </c>
      <c r="BC96" s="152">
        <f>MAX(0,AZ96+BA96-BB96)</f>
        <v/>
      </c>
      <c r="BD96" s="152">
        <f>BG95</f>
        <v/>
      </c>
      <c r="BE96" s="159">
        <f>IF(BD96&gt;0.005,BD96*Debts!D21/12,0)</f>
        <v/>
      </c>
      <c r="BF96" s="159" t="n">
        <v>0</v>
      </c>
      <c r="BG96" s="152">
        <f>MAX(0,BD96+BE96-BF96)</f>
        <v/>
      </c>
      <c r="BH96" s="152">
        <f>BK95</f>
        <v/>
      </c>
      <c r="BI96" s="159">
        <f>IF(BH96&gt;0.005,BH96*Debts!D22/12,0)</f>
        <v/>
      </c>
      <c r="BJ96" s="159" t="n">
        <v>0</v>
      </c>
      <c r="BK96" s="152">
        <f>MAX(0,BH96+BI96-BJ96)</f>
        <v/>
      </c>
      <c r="BL96" s="152">
        <f>BO95</f>
        <v/>
      </c>
      <c r="BM96" s="159">
        <f>IF(BL96&gt;0.005,BL96*Debts!D23/12,0)</f>
        <v/>
      </c>
      <c r="BN96" s="159" t="n">
        <v>0</v>
      </c>
      <c r="BO96" s="152">
        <f>MAX(0,BL96+BM96-BN96)</f>
        <v/>
      </c>
      <c r="BP96" s="152">
        <f>BS95</f>
        <v/>
      </c>
      <c r="BQ96" s="159">
        <f>IF(BP96&gt;0.005,BP96*Debts!D24/12,0)</f>
        <v/>
      </c>
      <c r="BR96" s="159" t="n">
        <v>0</v>
      </c>
      <c r="BS96" s="152">
        <f>MAX(0,BP96+BQ96-BR96)</f>
        <v/>
      </c>
      <c r="BT96" s="152">
        <f>BW95</f>
        <v/>
      </c>
      <c r="BU96" s="159">
        <f>IF(BT96&gt;0.005,BT96*Debts!D25/12,0)</f>
        <v/>
      </c>
      <c r="BV96" s="159" t="n">
        <v>0</v>
      </c>
      <c r="BW96" s="152">
        <f>MAX(0,BT96+BU96-BV96)</f>
        <v/>
      </c>
      <c r="BX96" s="152">
        <f>CA95</f>
        <v/>
      </c>
      <c r="BY96" s="159">
        <f>IF(BX96&gt;0.005,BX96*Debts!D26/12,0)</f>
        <v/>
      </c>
      <c r="BZ96" s="159" t="n">
        <v>0</v>
      </c>
      <c r="CA96" s="152">
        <f>MAX(0,BX96+BY96-BZ96)</f>
        <v/>
      </c>
      <c r="CB96" s="152">
        <f>CE95</f>
        <v/>
      </c>
      <c r="CC96" s="159">
        <f>IF(CB96&gt;0.005,CB96*Debts!D27/12,0)</f>
        <v/>
      </c>
      <c r="CD96" s="159" t="n">
        <v>0</v>
      </c>
      <c r="CE96" s="152">
        <f>MAX(0,CB96+CC96-CD96)</f>
        <v/>
      </c>
      <c r="CF96" s="152">
        <f>G96+K96+O96+S96+W96+AA96+AE96+AI96+AM96+AQ96+AU96+AY96+BC96+BG96+BK96+BO96+BS96+BW96+CA96+CE96</f>
        <v/>
      </c>
      <c r="CG96" s="159">
        <f>E96+I96+M96+Q96+U96+Y96+AC96+AG96+AK96+AO96+AS96+AW96+BA96+BE96+BI96+BM96+BQ96+BU96+BY96+CC96</f>
        <v/>
      </c>
      <c r="CH96" s="152">
        <f>CH95+CG96</f>
        <v/>
      </c>
      <c r="CI96" s="148" t="n"/>
      <c r="CJ96" s="148" t="n"/>
    </row>
    <row r="97" ht="15" customHeight="1" s="83">
      <c r="A97" s="148" t="n"/>
      <c r="B97" s="158" t="n">
        <v>93</v>
      </c>
      <c r="C97" s="152">
        <f>F97+J97+N97+R97+V97+Z97+AD97+AH97+AL97+AP97+AT97+AX97+BB97+BF97+BJ97+BN97+BR97+BV97+BZ97+CD97</f>
        <v/>
      </c>
      <c r="D97" s="152">
        <f>G96</f>
        <v/>
      </c>
      <c r="E97" s="159">
        <f>IF(D97&gt;0.005,D97*Debts!D8/12,0)</f>
        <v/>
      </c>
      <c r="F97" s="159" t="n">
        <v>0</v>
      </c>
      <c r="G97" s="152">
        <f>MAX(0,D97+E97-F97)</f>
        <v/>
      </c>
      <c r="H97" s="152">
        <f>K96</f>
        <v/>
      </c>
      <c r="I97" s="159">
        <f>IF(H97&gt;0.005,H97*Debts!D9/12,0)</f>
        <v/>
      </c>
      <c r="J97" s="159" t="n">
        <v>0</v>
      </c>
      <c r="K97" s="152">
        <f>MAX(0,H97+I97-J97)</f>
        <v/>
      </c>
      <c r="L97" s="152">
        <f>O96</f>
        <v/>
      </c>
      <c r="M97" s="159">
        <f>IF(L97&gt;0.005,L97*Debts!D10/12,0)</f>
        <v/>
      </c>
      <c r="N97" s="159" t="n">
        <v>0</v>
      </c>
      <c r="O97" s="152">
        <f>MAX(0,L97+M97-N97)</f>
        <v/>
      </c>
      <c r="P97" s="152">
        <f>S96</f>
        <v/>
      </c>
      <c r="Q97" s="159">
        <f>IF(P97&gt;0.005,P97*Debts!D11/12,0)</f>
        <v/>
      </c>
      <c r="R97" s="159" t="n">
        <v>0</v>
      </c>
      <c r="S97" s="152">
        <f>MAX(0,P97+Q97-R97)</f>
        <v/>
      </c>
      <c r="T97" s="152">
        <f>W96</f>
        <v/>
      </c>
      <c r="U97" s="159">
        <f>IF(T97&gt;0.005,T97*Debts!D12/12,0)</f>
        <v/>
      </c>
      <c r="V97" s="159" t="n">
        <v>0</v>
      </c>
      <c r="W97" s="152">
        <f>MAX(0,T97+U97-V97)</f>
        <v/>
      </c>
      <c r="X97" s="152">
        <f>AA96</f>
        <v/>
      </c>
      <c r="Y97" s="159">
        <f>IF(X97&gt;0.005,X97*Debts!D13/12,0)</f>
        <v/>
      </c>
      <c r="Z97" s="159" t="n">
        <v>0</v>
      </c>
      <c r="AA97" s="152">
        <f>MAX(0,X97+Y97-Z97)</f>
        <v/>
      </c>
      <c r="AB97" s="152">
        <f>AE96</f>
        <v/>
      </c>
      <c r="AC97" s="159">
        <f>IF(AB97&gt;0.005,AB97*Debts!D14/12,0)</f>
        <v/>
      </c>
      <c r="AD97" s="159" t="n">
        <v>0</v>
      </c>
      <c r="AE97" s="152">
        <f>MAX(0,AB97+AC97-AD97)</f>
        <v/>
      </c>
      <c r="AF97" s="152">
        <f>AI96</f>
        <v/>
      </c>
      <c r="AG97" s="159">
        <f>IF(AF97&gt;0.005,AF97*Debts!D15/12,0)</f>
        <v/>
      </c>
      <c r="AH97" s="159" t="n">
        <v>0</v>
      </c>
      <c r="AI97" s="152">
        <f>MAX(0,AF97+AG97-AH97)</f>
        <v/>
      </c>
      <c r="AJ97" s="152">
        <f>AM96</f>
        <v/>
      </c>
      <c r="AK97" s="159">
        <f>IF(AJ97&gt;0.005,AJ97*Debts!D16/12,0)</f>
        <v/>
      </c>
      <c r="AL97" s="159" t="n">
        <v>0</v>
      </c>
      <c r="AM97" s="152">
        <f>MAX(0,AJ97+AK97-AL97)</f>
        <v/>
      </c>
      <c r="AN97" s="152">
        <f>AQ96</f>
        <v/>
      </c>
      <c r="AO97" s="159">
        <f>IF(AN97&gt;0.005,AN97*Debts!D17/12,0)</f>
        <v/>
      </c>
      <c r="AP97" s="159" t="n">
        <v>0</v>
      </c>
      <c r="AQ97" s="152">
        <f>MAX(0,AN97+AO97-AP97)</f>
        <v/>
      </c>
      <c r="AR97" s="152">
        <f>AU96</f>
        <v/>
      </c>
      <c r="AS97" s="159">
        <f>IF(AR97&gt;0.005,AR97*Debts!D18/12,0)</f>
        <v/>
      </c>
      <c r="AT97" s="159" t="n">
        <v>0</v>
      </c>
      <c r="AU97" s="152">
        <f>MAX(0,AR97+AS97-AT97)</f>
        <v/>
      </c>
      <c r="AV97" s="152">
        <f>AY96</f>
        <v/>
      </c>
      <c r="AW97" s="159">
        <f>IF(AV97&gt;0.005,AV97*Debts!D19/12,0)</f>
        <v/>
      </c>
      <c r="AX97" s="159" t="n">
        <v>0</v>
      </c>
      <c r="AY97" s="152">
        <f>MAX(0,AV97+AW97-AX97)</f>
        <v/>
      </c>
      <c r="AZ97" s="152">
        <f>BC96</f>
        <v/>
      </c>
      <c r="BA97" s="159">
        <f>IF(AZ97&gt;0.005,AZ97*Debts!D20/12,0)</f>
        <v/>
      </c>
      <c r="BB97" s="159" t="n">
        <v>0</v>
      </c>
      <c r="BC97" s="152">
        <f>MAX(0,AZ97+BA97-BB97)</f>
        <v/>
      </c>
      <c r="BD97" s="152">
        <f>BG96</f>
        <v/>
      </c>
      <c r="BE97" s="159">
        <f>IF(BD97&gt;0.005,BD97*Debts!D21/12,0)</f>
        <v/>
      </c>
      <c r="BF97" s="159" t="n">
        <v>0</v>
      </c>
      <c r="BG97" s="152">
        <f>MAX(0,BD97+BE97-BF97)</f>
        <v/>
      </c>
      <c r="BH97" s="152">
        <f>BK96</f>
        <v/>
      </c>
      <c r="BI97" s="159">
        <f>IF(BH97&gt;0.005,BH97*Debts!D22/12,0)</f>
        <v/>
      </c>
      <c r="BJ97" s="159" t="n">
        <v>0</v>
      </c>
      <c r="BK97" s="152">
        <f>MAX(0,BH97+BI97-BJ97)</f>
        <v/>
      </c>
      <c r="BL97" s="152">
        <f>BO96</f>
        <v/>
      </c>
      <c r="BM97" s="159">
        <f>IF(BL97&gt;0.005,BL97*Debts!D23/12,0)</f>
        <v/>
      </c>
      <c r="BN97" s="159" t="n">
        <v>0</v>
      </c>
      <c r="BO97" s="152">
        <f>MAX(0,BL97+BM97-BN97)</f>
        <v/>
      </c>
      <c r="BP97" s="152">
        <f>BS96</f>
        <v/>
      </c>
      <c r="BQ97" s="159">
        <f>IF(BP97&gt;0.005,BP97*Debts!D24/12,0)</f>
        <v/>
      </c>
      <c r="BR97" s="159" t="n">
        <v>0</v>
      </c>
      <c r="BS97" s="152">
        <f>MAX(0,BP97+BQ97-BR97)</f>
        <v/>
      </c>
      <c r="BT97" s="152">
        <f>BW96</f>
        <v/>
      </c>
      <c r="BU97" s="159">
        <f>IF(BT97&gt;0.005,BT97*Debts!D25/12,0)</f>
        <v/>
      </c>
      <c r="BV97" s="159" t="n">
        <v>0</v>
      </c>
      <c r="BW97" s="152">
        <f>MAX(0,BT97+BU97-BV97)</f>
        <v/>
      </c>
      <c r="BX97" s="152">
        <f>CA96</f>
        <v/>
      </c>
      <c r="BY97" s="159">
        <f>IF(BX97&gt;0.005,BX97*Debts!D26/12,0)</f>
        <v/>
      </c>
      <c r="BZ97" s="159" t="n">
        <v>0</v>
      </c>
      <c r="CA97" s="152">
        <f>MAX(0,BX97+BY97-BZ97)</f>
        <v/>
      </c>
      <c r="CB97" s="152">
        <f>CE96</f>
        <v/>
      </c>
      <c r="CC97" s="159">
        <f>IF(CB97&gt;0.005,CB97*Debts!D27/12,0)</f>
        <v/>
      </c>
      <c r="CD97" s="159" t="n">
        <v>0</v>
      </c>
      <c r="CE97" s="152">
        <f>MAX(0,CB97+CC97-CD97)</f>
        <v/>
      </c>
      <c r="CF97" s="152">
        <f>G97+K97+O97+S97+W97+AA97+AE97+AI97+AM97+AQ97+AU97+AY97+BC97+BG97+BK97+BO97+BS97+BW97+CA97+CE97</f>
        <v/>
      </c>
      <c r="CG97" s="159">
        <f>E97+I97+M97+Q97+U97+Y97+AC97+AG97+AK97+AO97+AS97+AW97+BA97+BE97+BI97+BM97+BQ97+BU97+BY97+CC97</f>
        <v/>
      </c>
      <c r="CH97" s="152">
        <f>CH96+CG97</f>
        <v/>
      </c>
      <c r="CI97" s="148" t="n"/>
      <c r="CJ97" s="148" t="n"/>
    </row>
    <row r="98" ht="15" customHeight="1" s="83">
      <c r="A98" s="148" t="n"/>
      <c r="B98" s="158" t="n">
        <v>94</v>
      </c>
      <c r="C98" s="152">
        <f>F98+J98+N98+R98+V98+Z98+AD98+AH98+AL98+AP98+AT98+AX98+BB98+BF98+BJ98+BN98+BR98+BV98+BZ98+CD98</f>
        <v/>
      </c>
      <c r="D98" s="152">
        <f>G97</f>
        <v/>
      </c>
      <c r="E98" s="159">
        <f>IF(D98&gt;0.005,D98*Debts!D8/12,0)</f>
        <v/>
      </c>
      <c r="F98" s="159" t="n">
        <v>0</v>
      </c>
      <c r="G98" s="152">
        <f>MAX(0,D98+E98-F98)</f>
        <v/>
      </c>
      <c r="H98" s="152">
        <f>K97</f>
        <v/>
      </c>
      <c r="I98" s="159">
        <f>IF(H98&gt;0.005,H98*Debts!D9/12,0)</f>
        <v/>
      </c>
      <c r="J98" s="159" t="n">
        <v>0</v>
      </c>
      <c r="K98" s="152">
        <f>MAX(0,H98+I98-J98)</f>
        <v/>
      </c>
      <c r="L98" s="152">
        <f>O97</f>
        <v/>
      </c>
      <c r="M98" s="159">
        <f>IF(L98&gt;0.005,L98*Debts!D10/12,0)</f>
        <v/>
      </c>
      <c r="N98" s="159" t="n">
        <v>0</v>
      </c>
      <c r="O98" s="152">
        <f>MAX(0,L98+M98-N98)</f>
        <v/>
      </c>
      <c r="P98" s="152">
        <f>S97</f>
        <v/>
      </c>
      <c r="Q98" s="159">
        <f>IF(P98&gt;0.005,P98*Debts!D11/12,0)</f>
        <v/>
      </c>
      <c r="R98" s="159" t="n">
        <v>0</v>
      </c>
      <c r="S98" s="152">
        <f>MAX(0,P98+Q98-R98)</f>
        <v/>
      </c>
      <c r="T98" s="152">
        <f>W97</f>
        <v/>
      </c>
      <c r="U98" s="159">
        <f>IF(T98&gt;0.005,T98*Debts!D12/12,0)</f>
        <v/>
      </c>
      <c r="V98" s="159" t="n">
        <v>0</v>
      </c>
      <c r="W98" s="152">
        <f>MAX(0,T98+U98-V98)</f>
        <v/>
      </c>
      <c r="X98" s="152">
        <f>AA97</f>
        <v/>
      </c>
      <c r="Y98" s="159">
        <f>IF(X98&gt;0.005,X98*Debts!D13/12,0)</f>
        <v/>
      </c>
      <c r="Z98" s="159" t="n">
        <v>0</v>
      </c>
      <c r="AA98" s="152">
        <f>MAX(0,X98+Y98-Z98)</f>
        <v/>
      </c>
      <c r="AB98" s="152">
        <f>AE97</f>
        <v/>
      </c>
      <c r="AC98" s="159">
        <f>IF(AB98&gt;0.005,AB98*Debts!D14/12,0)</f>
        <v/>
      </c>
      <c r="AD98" s="159" t="n">
        <v>0</v>
      </c>
      <c r="AE98" s="152">
        <f>MAX(0,AB98+AC98-AD98)</f>
        <v/>
      </c>
      <c r="AF98" s="152">
        <f>AI97</f>
        <v/>
      </c>
      <c r="AG98" s="159">
        <f>IF(AF98&gt;0.005,AF98*Debts!D15/12,0)</f>
        <v/>
      </c>
      <c r="AH98" s="159" t="n">
        <v>0</v>
      </c>
      <c r="AI98" s="152">
        <f>MAX(0,AF98+AG98-AH98)</f>
        <v/>
      </c>
      <c r="AJ98" s="152">
        <f>AM97</f>
        <v/>
      </c>
      <c r="AK98" s="159">
        <f>IF(AJ98&gt;0.005,AJ98*Debts!D16/12,0)</f>
        <v/>
      </c>
      <c r="AL98" s="159" t="n">
        <v>0</v>
      </c>
      <c r="AM98" s="152">
        <f>MAX(0,AJ98+AK98-AL98)</f>
        <v/>
      </c>
      <c r="AN98" s="152">
        <f>AQ97</f>
        <v/>
      </c>
      <c r="AO98" s="159">
        <f>IF(AN98&gt;0.005,AN98*Debts!D17/12,0)</f>
        <v/>
      </c>
      <c r="AP98" s="159" t="n">
        <v>0</v>
      </c>
      <c r="AQ98" s="152">
        <f>MAX(0,AN98+AO98-AP98)</f>
        <v/>
      </c>
      <c r="AR98" s="152">
        <f>AU97</f>
        <v/>
      </c>
      <c r="AS98" s="159">
        <f>IF(AR98&gt;0.005,AR98*Debts!D18/12,0)</f>
        <v/>
      </c>
      <c r="AT98" s="159" t="n">
        <v>0</v>
      </c>
      <c r="AU98" s="152">
        <f>MAX(0,AR98+AS98-AT98)</f>
        <v/>
      </c>
      <c r="AV98" s="152">
        <f>AY97</f>
        <v/>
      </c>
      <c r="AW98" s="159">
        <f>IF(AV98&gt;0.005,AV98*Debts!D19/12,0)</f>
        <v/>
      </c>
      <c r="AX98" s="159" t="n">
        <v>0</v>
      </c>
      <c r="AY98" s="152">
        <f>MAX(0,AV98+AW98-AX98)</f>
        <v/>
      </c>
      <c r="AZ98" s="152">
        <f>BC97</f>
        <v/>
      </c>
      <c r="BA98" s="159">
        <f>IF(AZ98&gt;0.005,AZ98*Debts!D20/12,0)</f>
        <v/>
      </c>
      <c r="BB98" s="159" t="n">
        <v>0</v>
      </c>
      <c r="BC98" s="152">
        <f>MAX(0,AZ98+BA98-BB98)</f>
        <v/>
      </c>
      <c r="BD98" s="152">
        <f>BG97</f>
        <v/>
      </c>
      <c r="BE98" s="159">
        <f>IF(BD98&gt;0.005,BD98*Debts!D21/12,0)</f>
        <v/>
      </c>
      <c r="BF98" s="159" t="n">
        <v>0</v>
      </c>
      <c r="BG98" s="152">
        <f>MAX(0,BD98+BE98-BF98)</f>
        <v/>
      </c>
      <c r="BH98" s="152">
        <f>BK97</f>
        <v/>
      </c>
      <c r="BI98" s="159">
        <f>IF(BH98&gt;0.005,BH98*Debts!D22/12,0)</f>
        <v/>
      </c>
      <c r="BJ98" s="159" t="n">
        <v>0</v>
      </c>
      <c r="BK98" s="152">
        <f>MAX(0,BH98+BI98-BJ98)</f>
        <v/>
      </c>
      <c r="BL98" s="152">
        <f>BO97</f>
        <v/>
      </c>
      <c r="BM98" s="159">
        <f>IF(BL98&gt;0.005,BL98*Debts!D23/12,0)</f>
        <v/>
      </c>
      <c r="BN98" s="159" t="n">
        <v>0</v>
      </c>
      <c r="BO98" s="152">
        <f>MAX(0,BL98+BM98-BN98)</f>
        <v/>
      </c>
      <c r="BP98" s="152">
        <f>BS97</f>
        <v/>
      </c>
      <c r="BQ98" s="159">
        <f>IF(BP98&gt;0.005,BP98*Debts!D24/12,0)</f>
        <v/>
      </c>
      <c r="BR98" s="159" t="n">
        <v>0</v>
      </c>
      <c r="BS98" s="152">
        <f>MAX(0,BP98+BQ98-BR98)</f>
        <v/>
      </c>
      <c r="BT98" s="152">
        <f>BW97</f>
        <v/>
      </c>
      <c r="BU98" s="159">
        <f>IF(BT98&gt;0.005,BT98*Debts!D25/12,0)</f>
        <v/>
      </c>
      <c r="BV98" s="159" t="n">
        <v>0</v>
      </c>
      <c r="BW98" s="152">
        <f>MAX(0,BT98+BU98-BV98)</f>
        <v/>
      </c>
      <c r="BX98" s="152">
        <f>CA97</f>
        <v/>
      </c>
      <c r="BY98" s="159">
        <f>IF(BX98&gt;0.005,BX98*Debts!D26/12,0)</f>
        <v/>
      </c>
      <c r="BZ98" s="159" t="n">
        <v>0</v>
      </c>
      <c r="CA98" s="152">
        <f>MAX(0,BX98+BY98-BZ98)</f>
        <v/>
      </c>
      <c r="CB98" s="152">
        <f>CE97</f>
        <v/>
      </c>
      <c r="CC98" s="159">
        <f>IF(CB98&gt;0.005,CB98*Debts!D27/12,0)</f>
        <v/>
      </c>
      <c r="CD98" s="159" t="n">
        <v>0</v>
      </c>
      <c r="CE98" s="152">
        <f>MAX(0,CB98+CC98-CD98)</f>
        <v/>
      </c>
      <c r="CF98" s="152">
        <f>G98+K98+O98+S98+W98+AA98+AE98+AI98+AM98+AQ98+AU98+AY98+BC98+BG98+BK98+BO98+BS98+BW98+CA98+CE98</f>
        <v/>
      </c>
      <c r="CG98" s="159">
        <f>E98+I98+M98+Q98+U98+Y98+AC98+AG98+AK98+AO98+AS98+AW98+BA98+BE98+BI98+BM98+BQ98+BU98+BY98+CC98</f>
        <v/>
      </c>
      <c r="CH98" s="152">
        <f>CH97+CG98</f>
        <v/>
      </c>
      <c r="CI98" s="148" t="n"/>
      <c r="CJ98" s="148" t="n"/>
    </row>
    <row r="99" ht="15" customHeight="1" s="83">
      <c r="A99" s="148" t="n"/>
      <c r="B99" s="158" t="n">
        <v>95</v>
      </c>
      <c r="C99" s="152">
        <f>F99+J99+N99+R99+V99+Z99+AD99+AH99+AL99+AP99+AT99+AX99+BB99+BF99+BJ99+BN99+BR99+BV99+BZ99+CD99</f>
        <v/>
      </c>
      <c r="D99" s="152">
        <f>G98</f>
        <v/>
      </c>
      <c r="E99" s="159">
        <f>IF(D99&gt;0.005,D99*Debts!D8/12,0)</f>
        <v/>
      </c>
      <c r="F99" s="159" t="n">
        <v>0</v>
      </c>
      <c r="G99" s="152">
        <f>MAX(0,D99+E99-F99)</f>
        <v/>
      </c>
      <c r="H99" s="152">
        <f>K98</f>
        <v/>
      </c>
      <c r="I99" s="159">
        <f>IF(H99&gt;0.005,H99*Debts!D9/12,0)</f>
        <v/>
      </c>
      <c r="J99" s="159" t="n">
        <v>0</v>
      </c>
      <c r="K99" s="152">
        <f>MAX(0,H99+I99-J99)</f>
        <v/>
      </c>
      <c r="L99" s="152">
        <f>O98</f>
        <v/>
      </c>
      <c r="M99" s="159">
        <f>IF(L99&gt;0.005,L99*Debts!D10/12,0)</f>
        <v/>
      </c>
      <c r="N99" s="159" t="n">
        <v>0</v>
      </c>
      <c r="O99" s="152">
        <f>MAX(0,L99+M99-N99)</f>
        <v/>
      </c>
      <c r="P99" s="152">
        <f>S98</f>
        <v/>
      </c>
      <c r="Q99" s="159">
        <f>IF(P99&gt;0.005,P99*Debts!D11/12,0)</f>
        <v/>
      </c>
      <c r="R99" s="159" t="n">
        <v>0</v>
      </c>
      <c r="S99" s="152">
        <f>MAX(0,P99+Q99-R99)</f>
        <v/>
      </c>
      <c r="T99" s="152">
        <f>W98</f>
        <v/>
      </c>
      <c r="U99" s="159">
        <f>IF(T99&gt;0.005,T99*Debts!D12/12,0)</f>
        <v/>
      </c>
      <c r="V99" s="159" t="n">
        <v>0</v>
      </c>
      <c r="W99" s="152">
        <f>MAX(0,T99+U99-V99)</f>
        <v/>
      </c>
      <c r="X99" s="152">
        <f>AA98</f>
        <v/>
      </c>
      <c r="Y99" s="159">
        <f>IF(X99&gt;0.005,X99*Debts!D13/12,0)</f>
        <v/>
      </c>
      <c r="Z99" s="159" t="n">
        <v>0</v>
      </c>
      <c r="AA99" s="152">
        <f>MAX(0,X99+Y99-Z99)</f>
        <v/>
      </c>
      <c r="AB99" s="152">
        <f>AE98</f>
        <v/>
      </c>
      <c r="AC99" s="159">
        <f>IF(AB99&gt;0.005,AB99*Debts!D14/12,0)</f>
        <v/>
      </c>
      <c r="AD99" s="159" t="n">
        <v>0</v>
      </c>
      <c r="AE99" s="152">
        <f>MAX(0,AB99+AC99-AD99)</f>
        <v/>
      </c>
      <c r="AF99" s="152">
        <f>AI98</f>
        <v/>
      </c>
      <c r="AG99" s="159">
        <f>IF(AF99&gt;0.005,AF99*Debts!D15/12,0)</f>
        <v/>
      </c>
      <c r="AH99" s="159" t="n">
        <v>0</v>
      </c>
      <c r="AI99" s="152">
        <f>MAX(0,AF99+AG99-AH99)</f>
        <v/>
      </c>
      <c r="AJ99" s="152">
        <f>AM98</f>
        <v/>
      </c>
      <c r="AK99" s="159">
        <f>IF(AJ99&gt;0.005,AJ99*Debts!D16/12,0)</f>
        <v/>
      </c>
      <c r="AL99" s="159" t="n">
        <v>0</v>
      </c>
      <c r="AM99" s="152">
        <f>MAX(0,AJ99+AK99-AL99)</f>
        <v/>
      </c>
      <c r="AN99" s="152">
        <f>AQ98</f>
        <v/>
      </c>
      <c r="AO99" s="159">
        <f>IF(AN99&gt;0.005,AN99*Debts!D17/12,0)</f>
        <v/>
      </c>
      <c r="AP99" s="159" t="n">
        <v>0</v>
      </c>
      <c r="AQ99" s="152">
        <f>MAX(0,AN99+AO99-AP99)</f>
        <v/>
      </c>
      <c r="AR99" s="152">
        <f>AU98</f>
        <v/>
      </c>
      <c r="AS99" s="159">
        <f>IF(AR99&gt;0.005,AR99*Debts!D18/12,0)</f>
        <v/>
      </c>
      <c r="AT99" s="159" t="n">
        <v>0</v>
      </c>
      <c r="AU99" s="152">
        <f>MAX(0,AR99+AS99-AT99)</f>
        <v/>
      </c>
      <c r="AV99" s="152">
        <f>AY98</f>
        <v/>
      </c>
      <c r="AW99" s="159">
        <f>IF(AV99&gt;0.005,AV99*Debts!D19/12,0)</f>
        <v/>
      </c>
      <c r="AX99" s="159" t="n">
        <v>0</v>
      </c>
      <c r="AY99" s="152">
        <f>MAX(0,AV99+AW99-AX99)</f>
        <v/>
      </c>
      <c r="AZ99" s="152">
        <f>BC98</f>
        <v/>
      </c>
      <c r="BA99" s="159">
        <f>IF(AZ99&gt;0.005,AZ99*Debts!D20/12,0)</f>
        <v/>
      </c>
      <c r="BB99" s="159" t="n">
        <v>0</v>
      </c>
      <c r="BC99" s="152">
        <f>MAX(0,AZ99+BA99-BB99)</f>
        <v/>
      </c>
      <c r="BD99" s="152">
        <f>BG98</f>
        <v/>
      </c>
      <c r="BE99" s="159">
        <f>IF(BD99&gt;0.005,BD99*Debts!D21/12,0)</f>
        <v/>
      </c>
      <c r="BF99" s="159" t="n">
        <v>0</v>
      </c>
      <c r="BG99" s="152">
        <f>MAX(0,BD99+BE99-BF99)</f>
        <v/>
      </c>
      <c r="BH99" s="152">
        <f>BK98</f>
        <v/>
      </c>
      <c r="BI99" s="159">
        <f>IF(BH99&gt;0.005,BH99*Debts!D22/12,0)</f>
        <v/>
      </c>
      <c r="BJ99" s="159" t="n">
        <v>0</v>
      </c>
      <c r="BK99" s="152">
        <f>MAX(0,BH99+BI99-BJ99)</f>
        <v/>
      </c>
      <c r="BL99" s="152">
        <f>BO98</f>
        <v/>
      </c>
      <c r="BM99" s="159">
        <f>IF(BL99&gt;0.005,BL99*Debts!D23/12,0)</f>
        <v/>
      </c>
      <c r="BN99" s="159" t="n">
        <v>0</v>
      </c>
      <c r="BO99" s="152">
        <f>MAX(0,BL99+BM99-BN99)</f>
        <v/>
      </c>
      <c r="BP99" s="152">
        <f>BS98</f>
        <v/>
      </c>
      <c r="BQ99" s="159">
        <f>IF(BP99&gt;0.005,BP99*Debts!D24/12,0)</f>
        <v/>
      </c>
      <c r="BR99" s="159" t="n">
        <v>0</v>
      </c>
      <c r="BS99" s="152">
        <f>MAX(0,BP99+BQ99-BR99)</f>
        <v/>
      </c>
      <c r="BT99" s="152">
        <f>BW98</f>
        <v/>
      </c>
      <c r="BU99" s="159">
        <f>IF(BT99&gt;0.005,BT99*Debts!D25/12,0)</f>
        <v/>
      </c>
      <c r="BV99" s="159" t="n">
        <v>0</v>
      </c>
      <c r="BW99" s="152">
        <f>MAX(0,BT99+BU99-BV99)</f>
        <v/>
      </c>
      <c r="BX99" s="152">
        <f>CA98</f>
        <v/>
      </c>
      <c r="BY99" s="159">
        <f>IF(BX99&gt;0.005,BX99*Debts!D26/12,0)</f>
        <v/>
      </c>
      <c r="BZ99" s="159" t="n">
        <v>0</v>
      </c>
      <c r="CA99" s="152">
        <f>MAX(0,BX99+BY99-BZ99)</f>
        <v/>
      </c>
      <c r="CB99" s="152">
        <f>CE98</f>
        <v/>
      </c>
      <c r="CC99" s="159">
        <f>IF(CB99&gt;0.005,CB99*Debts!D27/12,0)</f>
        <v/>
      </c>
      <c r="CD99" s="159" t="n">
        <v>0</v>
      </c>
      <c r="CE99" s="152">
        <f>MAX(0,CB99+CC99-CD99)</f>
        <v/>
      </c>
      <c r="CF99" s="152">
        <f>G99+K99+O99+S99+W99+AA99+AE99+AI99+AM99+AQ99+AU99+AY99+BC99+BG99+BK99+BO99+BS99+BW99+CA99+CE99</f>
        <v/>
      </c>
      <c r="CG99" s="159">
        <f>E99+I99+M99+Q99+U99+Y99+AC99+AG99+AK99+AO99+AS99+AW99+BA99+BE99+BI99+BM99+BQ99+BU99+BY99+CC99</f>
        <v/>
      </c>
      <c r="CH99" s="152">
        <f>CH98+CG99</f>
        <v/>
      </c>
      <c r="CI99" s="148" t="n"/>
      <c r="CJ99" s="148" t="n"/>
    </row>
    <row r="100" ht="15" customHeight="1" s="83">
      <c r="A100" s="148" t="n"/>
      <c r="B100" s="158" t="n">
        <v>96</v>
      </c>
      <c r="C100" s="152">
        <f>F100+J100+N100+R100+V100+Z100+AD100+AH100+AL100+AP100+AT100+AX100+BB100+BF100+BJ100+BN100+BR100+BV100+BZ100+CD100</f>
        <v/>
      </c>
      <c r="D100" s="152">
        <f>G99</f>
        <v/>
      </c>
      <c r="E100" s="159">
        <f>IF(D100&gt;0.005,D100*Debts!D8/12,0)</f>
        <v/>
      </c>
      <c r="F100" s="159" t="n">
        <v>0</v>
      </c>
      <c r="G100" s="152">
        <f>MAX(0,D100+E100-F100)</f>
        <v/>
      </c>
      <c r="H100" s="152">
        <f>K99</f>
        <v/>
      </c>
      <c r="I100" s="159">
        <f>IF(H100&gt;0.005,H100*Debts!D9/12,0)</f>
        <v/>
      </c>
      <c r="J100" s="159" t="n">
        <v>0</v>
      </c>
      <c r="K100" s="152">
        <f>MAX(0,H100+I100-J100)</f>
        <v/>
      </c>
      <c r="L100" s="152">
        <f>O99</f>
        <v/>
      </c>
      <c r="M100" s="159">
        <f>IF(L100&gt;0.005,L100*Debts!D10/12,0)</f>
        <v/>
      </c>
      <c r="N100" s="159" t="n">
        <v>0</v>
      </c>
      <c r="O100" s="152">
        <f>MAX(0,L100+M100-N100)</f>
        <v/>
      </c>
      <c r="P100" s="152">
        <f>S99</f>
        <v/>
      </c>
      <c r="Q100" s="159">
        <f>IF(P100&gt;0.005,P100*Debts!D11/12,0)</f>
        <v/>
      </c>
      <c r="R100" s="159" t="n">
        <v>0</v>
      </c>
      <c r="S100" s="152">
        <f>MAX(0,P100+Q100-R100)</f>
        <v/>
      </c>
      <c r="T100" s="152">
        <f>W99</f>
        <v/>
      </c>
      <c r="U100" s="159">
        <f>IF(T100&gt;0.005,T100*Debts!D12/12,0)</f>
        <v/>
      </c>
      <c r="V100" s="159" t="n">
        <v>0</v>
      </c>
      <c r="W100" s="152">
        <f>MAX(0,T100+U100-V100)</f>
        <v/>
      </c>
      <c r="X100" s="152">
        <f>AA99</f>
        <v/>
      </c>
      <c r="Y100" s="159">
        <f>IF(X100&gt;0.005,X100*Debts!D13/12,0)</f>
        <v/>
      </c>
      <c r="Z100" s="159" t="n">
        <v>0</v>
      </c>
      <c r="AA100" s="152">
        <f>MAX(0,X100+Y100-Z100)</f>
        <v/>
      </c>
      <c r="AB100" s="152">
        <f>AE99</f>
        <v/>
      </c>
      <c r="AC100" s="159">
        <f>IF(AB100&gt;0.005,AB100*Debts!D14/12,0)</f>
        <v/>
      </c>
      <c r="AD100" s="159" t="n">
        <v>0</v>
      </c>
      <c r="AE100" s="152">
        <f>MAX(0,AB100+AC100-AD100)</f>
        <v/>
      </c>
      <c r="AF100" s="152">
        <f>AI99</f>
        <v/>
      </c>
      <c r="AG100" s="159">
        <f>IF(AF100&gt;0.005,AF100*Debts!D15/12,0)</f>
        <v/>
      </c>
      <c r="AH100" s="159" t="n">
        <v>0</v>
      </c>
      <c r="AI100" s="152">
        <f>MAX(0,AF100+AG100-AH100)</f>
        <v/>
      </c>
      <c r="AJ100" s="152">
        <f>AM99</f>
        <v/>
      </c>
      <c r="AK100" s="159">
        <f>IF(AJ100&gt;0.005,AJ100*Debts!D16/12,0)</f>
        <v/>
      </c>
      <c r="AL100" s="159" t="n">
        <v>0</v>
      </c>
      <c r="AM100" s="152">
        <f>MAX(0,AJ100+AK100-AL100)</f>
        <v/>
      </c>
      <c r="AN100" s="152">
        <f>AQ99</f>
        <v/>
      </c>
      <c r="AO100" s="159">
        <f>IF(AN100&gt;0.005,AN100*Debts!D17/12,0)</f>
        <v/>
      </c>
      <c r="AP100" s="159" t="n">
        <v>0</v>
      </c>
      <c r="AQ100" s="152">
        <f>MAX(0,AN100+AO100-AP100)</f>
        <v/>
      </c>
      <c r="AR100" s="152">
        <f>AU99</f>
        <v/>
      </c>
      <c r="AS100" s="159">
        <f>IF(AR100&gt;0.005,AR100*Debts!D18/12,0)</f>
        <v/>
      </c>
      <c r="AT100" s="159" t="n">
        <v>0</v>
      </c>
      <c r="AU100" s="152">
        <f>MAX(0,AR100+AS100-AT100)</f>
        <v/>
      </c>
      <c r="AV100" s="152">
        <f>AY99</f>
        <v/>
      </c>
      <c r="AW100" s="159">
        <f>IF(AV100&gt;0.005,AV100*Debts!D19/12,0)</f>
        <v/>
      </c>
      <c r="AX100" s="159" t="n">
        <v>0</v>
      </c>
      <c r="AY100" s="152">
        <f>MAX(0,AV100+AW100-AX100)</f>
        <v/>
      </c>
      <c r="AZ100" s="152">
        <f>BC99</f>
        <v/>
      </c>
      <c r="BA100" s="159">
        <f>IF(AZ100&gt;0.005,AZ100*Debts!D20/12,0)</f>
        <v/>
      </c>
      <c r="BB100" s="159" t="n">
        <v>0</v>
      </c>
      <c r="BC100" s="152">
        <f>MAX(0,AZ100+BA100-BB100)</f>
        <v/>
      </c>
      <c r="BD100" s="152">
        <f>BG99</f>
        <v/>
      </c>
      <c r="BE100" s="159">
        <f>IF(BD100&gt;0.005,BD100*Debts!D21/12,0)</f>
        <v/>
      </c>
      <c r="BF100" s="159" t="n">
        <v>0</v>
      </c>
      <c r="BG100" s="152">
        <f>MAX(0,BD100+BE100-BF100)</f>
        <v/>
      </c>
      <c r="BH100" s="152">
        <f>BK99</f>
        <v/>
      </c>
      <c r="BI100" s="159">
        <f>IF(BH100&gt;0.005,BH100*Debts!D22/12,0)</f>
        <v/>
      </c>
      <c r="BJ100" s="159" t="n">
        <v>0</v>
      </c>
      <c r="BK100" s="152">
        <f>MAX(0,BH100+BI100-BJ100)</f>
        <v/>
      </c>
      <c r="BL100" s="152">
        <f>BO99</f>
        <v/>
      </c>
      <c r="BM100" s="159">
        <f>IF(BL100&gt;0.005,BL100*Debts!D23/12,0)</f>
        <v/>
      </c>
      <c r="BN100" s="159" t="n">
        <v>0</v>
      </c>
      <c r="BO100" s="152">
        <f>MAX(0,BL100+BM100-BN100)</f>
        <v/>
      </c>
      <c r="BP100" s="152">
        <f>BS99</f>
        <v/>
      </c>
      <c r="BQ100" s="159">
        <f>IF(BP100&gt;0.005,BP100*Debts!D24/12,0)</f>
        <v/>
      </c>
      <c r="BR100" s="159" t="n">
        <v>0</v>
      </c>
      <c r="BS100" s="152">
        <f>MAX(0,BP100+BQ100-BR100)</f>
        <v/>
      </c>
      <c r="BT100" s="152">
        <f>BW99</f>
        <v/>
      </c>
      <c r="BU100" s="159">
        <f>IF(BT100&gt;0.005,BT100*Debts!D25/12,0)</f>
        <v/>
      </c>
      <c r="BV100" s="159" t="n">
        <v>0</v>
      </c>
      <c r="BW100" s="152">
        <f>MAX(0,BT100+BU100-BV100)</f>
        <v/>
      </c>
      <c r="BX100" s="152">
        <f>CA99</f>
        <v/>
      </c>
      <c r="BY100" s="159">
        <f>IF(BX100&gt;0.005,BX100*Debts!D26/12,0)</f>
        <v/>
      </c>
      <c r="BZ100" s="159" t="n">
        <v>0</v>
      </c>
      <c r="CA100" s="152">
        <f>MAX(0,BX100+BY100-BZ100)</f>
        <v/>
      </c>
      <c r="CB100" s="152">
        <f>CE99</f>
        <v/>
      </c>
      <c r="CC100" s="159">
        <f>IF(CB100&gt;0.005,CB100*Debts!D27/12,0)</f>
        <v/>
      </c>
      <c r="CD100" s="159" t="n">
        <v>0</v>
      </c>
      <c r="CE100" s="152">
        <f>MAX(0,CB100+CC100-CD100)</f>
        <v/>
      </c>
      <c r="CF100" s="152">
        <f>G100+K100+O100+S100+W100+AA100+AE100+AI100+AM100+AQ100+AU100+AY100+BC100+BG100+BK100+BO100+BS100+BW100+CA100+CE100</f>
        <v/>
      </c>
      <c r="CG100" s="159">
        <f>E100+I100+M100+Q100+U100+Y100+AC100+AG100+AK100+AO100+AS100+AW100+BA100+BE100+BI100+BM100+BQ100+BU100+BY100+CC100</f>
        <v/>
      </c>
      <c r="CH100" s="152">
        <f>CH99+CG100</f>
        <v/>
      </c>
      <c r="CI100" s="148" t="n"/>
      <c r="CJ100" s="148" t="n"/>
    </row>
    <row r="101" ht="15" customHeight="1" s="83">
      <c r="A101" s="148" t="n"/>
      <c r="B101" s="158" t="n">
        <v>97</v>
      </c>
      <c r="C101" s="152">
        <f>F101+J101+N101+R101+V101+Z101+AD101+AH101+AL101+AP101+AT101+AX101+BB101+BF101+BJ101+BN101+BR101+BV101+BZ101+CD101</f>
        <v/>
      </c>
      <c r="D101" s="152">
        <f>G100</f>
        <v/>
      </c>
      <c r="E101" s="159">
        <f>IF(D101&gt;0.005,D101*Debts!D8/12,0)</f>
        <v/>
      </c>
      <c r="F101" s="159" t="n">
        <v>0</v>
      </c>
      <c r="G101" s="152">
        <f>MAX(0,D101+E101-F101)</f>
        <v/>
      </c>
      <c r="H101" s="152">
        <f>K100</f>
        <v/>
      </c>
      <c r="I101" s="159">
        <f>IF(H101&gt;0.005,H101*Debts!D9/12,0)</f>
        <v/>
      </c>
      <c r="J101" s="159" t="n">
        <v>0</v>
      </c>
      <c r="K101" s="152">
        <f>MAX(0,H101+I101-J101)</f>
        <v/>
      </c>
      <c r="L101" s="152">
        <f>O100</f>
        <v/>
      </c>
      <c r="M101" s="159">
        <f>IF(L101&gt;0.005,L101*Debts!D10/12,0)</f>
        <v/>
      </c>
      <c r="N101" s="159" t="n">
        <v>0</v>
      </c>
      <c r="O101" s="152">
        <f>MAX(0,L101+M101-N101)</f>
        <v/>
      </c>
      <c r="P101" s="152">
        <f>S100</f>
        <v/>
      </c>
      <c r="Q101" s="159">
        <f>IF(P101&gt;0.005,P101*Debts!D11/12,0)</f>
        <v/>
      </c>
      <c r="R101" s="159" t="n">
        <v>0</v>
      </c>
      <c r="S101" s="152">
        <f>MAX(0,P101+Q101-R101)</f>
        <v/>
      </c>
      <c r="T101" s="152">
        <f>W100</f>
        <v/>
      </c>
      <c r="U101" s="159">
        <f>IF(T101&gt;0.005,T101*Debts!D12/12,0)</f>
        <v/>
      </c>
      <c r="V101" s="159" t="n">
        <v>0</v>
      </c>
      <c r="W101" s="152">
        <f>MAX(0,T101+U101-V101)</f>
        <v/>
      </c>
      <c r="X101" s="152">
        <f>AA100</f>
        <v/>
      </c>
      <c r="Y101" s="159">
        <f>IF(X101&gt;0.005,X101*Debts!D13/12,0)</f>
        <v/>
      </c>
      <c r="Z101" s="159" t="n">
        <v>0</v>
      </c>
      <c r="AA101" s="152">
        <f>MAX(0,X101+Y101-Z101)</f>
        <v/>
      </c>
      <c r="AB101" s="152">
        <f>AE100</f>
        <v/>
      </c>
      <c r="AC101" s="159">
        <f>IF(AB101&gt;0.005,AB101*Debts!D14/12,0)</f>
        <v/>
      </c>
      <c r="AD101" s="159" t="n">
        <v>0</v>
      </c>
      <c r="AE101" s="152">
        <f>MAX(0,AB101+AC101-AD101)</f>
        <v/>
      </c>
      <c r="AF101" s="152">
        <f>AI100</f>
        <v/>
      </c>
      <c r="AG101" s="159">
        <f>IF(AF101&gt;0.005,AF101*Debts!D15/12,0)</f>
        <v/>
      </c>
      <c r="AH101" s="159" t="n">
        <v>0</v>
      </c>
      <c r="AI101" s="152">
        <f>MAX(0,AF101+AG101-AH101)</f>
        <v/>
      </c>
      <c r="AJ101" s="152">
        <f>AM100</f>
        <v/>
      </c>
      <c r="AK101" s="159">
        <f>IF(AJ101&gt;0.005,AJ101*Debts!D16/12,0)</f>
        <v/>
      </c>
      <c r="AL101" s="159" t="n">
        <v>0</v>
      </c>
      <c r="AM101" s="152">
        <f>MAX(0,AJ101+AK101-AL101)</f>
        <v/>
      </c>
      <c r="AN101" s="152">
        <f>AQ100</f>
        <v/>
      </c>
      <c r="AO101" s="159">
        <f>IF(AN101&gt;0.005,AN101*Debts!D17/12,0)</f>
        <v/>
      </c>
      <c r="AP101" s="159" t="n">
        <v>0</v>
      </c>
      <c r="AQ101" s="152">
        <f>MAX(0,AN101+AO101-AP101)</f>
        <v/>
      </c>
      <c r="AR101" s="152">
        <f>AU100</f>
        <v/>
      </c>
      <c r="AS101" s="159">
        <f>IF(AR101&gt;0.005,AR101*Debts!D18/12,0)</f>
        <v/>
      </c>
      <c r="AT101" s="159" t="n">
        <v>0</v>
      </c>
      <c r="AU101" s="152">
        <f>MAX(0,AR101+AS101-AT101)</f>
        <v/>
      </c>
      <c r="AV101" s="152">
        <f>AY100</f>
        <v/>
      </c>
      <c r="AW101" s="159">
        <f>IF(AV101&gt;0.005,AV101*Debts!D19/12,0)</f>
        <v/>
      </c>
      <c r="AX101" s="159" t="n">
        <v>0</v>
      </c>
      <c r="AY101" s="152">
        <f>MAX(0,AV101+AW101-AX101)</f>
        <v/>
      </c>
      <c r="AZ101" s="152">
        <f>BC100</f>
        <v/>
      </c>
      <c r="BA101" s="159">
        <f>IF(AZ101&gt;0.005,AZ101*Debts!D20/12,0)</f>
        <v/>
      </c>
      <c r="BB101" s="159" t="n">
        <v>0</v>
      </c>
      <c r="BC101" s="152">
        <f>MAX(0,AZ101+BA101-BB101)</f>
        <v/>
      </c>
      <c r="BD101" s="152">
        <f>BG100</f>
        <v/>
      </c>
      <c r="BE101" s="159">
        <f>IF(BD101&gt;0.005,BD101*Debts!D21/12,0)</f>
        <v/>
      </c>
      <c r="BF101" s="159" t="n">
        <v>0</v>
      </c>
      <c r="BG101" s="152">
        <f>MAX(0,BD101+BE101-BF101)</f>
        <v/>
      </c>
      <c r="BH101" s="152">
        <f>BK100</f>
        <v/>
      </c>
      <c r="BI101" s="159">
        <f>IF(BH101&gt;0.005,BH101*Debts!D22/12,0)</f>
        <v/>
      </c>
      <c r="BJ101" s="159" t="n">
        <v>0</v>
      </c>
      <c r="BK101" s="152">
        <f>MAX(0,BH101+BI101-BJ101)</f>
        <v/>
      </c>
      <c r="BL101" s="152">
        <f>BO100</f>
        <v/>
      </c>
      <c r="BM101" s="159">
        <f>IF(BL101&gt;0.005,BL101*Debts!D23/12,0)</f>
        <v/>
      </c>
      <c r="BN101" s="159" t="n">
        <v>0</v>
      </c>
      <c r="BO101" s="152">
        <f>MAX(0,BL101+BM101-BN101)</f>
        <v/>
      </c>
      <c r="BP101" s="152">
        <f>BS100</f>
        <v/>
      </c>
      <c r="BQ101" s="159">
        <f>IF(BP101&gt;0.005,BP101*Debts!D24/12,0)</f>
        <v/>
      </c>
      <c r="BR101" s="159" t="n">
        <v>0</v>
      </c>
      <c r="BS101" s="152">
        <f>MAX(0,BP101+BQ101-BR101)</f>
        <v/>
      </c>
      <c r="BT101" s="152">
        <f>BW100</f>
        <v/>
      </c>
      <c r="BU101" s="159">
        <f>IF(BT101&gt;0.005,BT101*Debts!D25/12,0)</f>
        <v/>
      </c>
      <c r="BV101" s="159" t="n">
        <v>0</v>
      </c>
      <c r="BW101" s="152">
        <f>MAX(0,BT101+BU101-BV101)</f>
        <v/>
      </c>
      <c r="BX101" s="152">
        <f>CA100</f>
        <v/>
      </c>
      <c r="BY101" s="159">
        <f>IF(BX101&gt;0.005,BX101*Debts!D26/12,0)</f>
        <v/>
      </c>
      <c r="BZ101" s="159" t="n">
        <v>0</v>
      </c>
      <c r="CA101" s="152">
        <f>MAX(0,BX101+BY101-BZ101)</f>
        <v/>
      </c>
      <c r="CB101" s="152">
        <f>CE100</f>
        <v/>
      </c>
      <c r="CC101" s="159">
        <f>IF(CB101&gt;0.005,CB101*Debts!D27/12,0)</f>
        <v/>
      </c>
      <c r="CD101" s="159" t="n">
        <v>0</v>
      </c>
      <c r="CE101" s="152">
        <f>MAX(0,CB101+CC101-CD101)</f>
        <v/>
      </c>
      <c r="CF101" s="152">
        <f>G101+K101+O101+S101+W101+AA101+AE101+AI101+AM101+AQ101+AU101+AY101+BC101+BG101+BK101+BO101+BS101+BW101+CA101+CE101</f>
        <v/>
      </c>
      <c r="CG101" s="159">
        <f>E101+I101+M101+Q101+U101+Y101+AC101+AG101+AK101+AO101+AS101+AW101+BA101+BE101+BI101+BM101+BQ101+BU101+BY101+CC101</f>
        <v/>
      </c>
      <c r="CH101" s="152">
        <f>CH100+CG101</f>
        <v/>
      </c>
      <c r="CI101" s="148" t="n"/>
      <c r="CJ101" s="148" t="n"/>
    </row>
    <row r="102" ht="15" customHeight="1" s="83">
      <c r="A102" s="148" t="n"/>
      <c r="B102" s="158" t="n">
        <v>98</v>
      </c>
      <c r="C102" s="152">
        <f>F102+J102+N102+R102+V102+Z102+AD102+AH102+AL102+AP102+AT102+AX102+BB102+BF102+BJ102+BN102+BR102+BV102+BZ102+CD102</f>
        <v/>
      </c>
      <c r="D102" s="152">
        <f>G101</f>
        <v/>
      </c>
      <c r="E102" s="159">
        <f>IF(D102&gt;0.005,D102*Debts!D8/12,0)</f>
        <v/>
      </c>
      <c r="F102" s="159" t="n">
        <v>0</v>
      </c>
      <c r="G102" s="152">
        <f>MAX(0,D102+E102-F102)</f>
        <v/>
      </c>
      <c r="H102" s="152">
        <f>K101</f>
        <v/>
      </c>
      <c r="I102" s="159">
        <f>IF(H102&gt;0.005,H102*Debts!D9/12,0)</f>
        <v/>
      </c>
      <c r="J102" s="159" t="n">
        <v>0</v>
      </c>
      <c r="K102" s="152">
        <f>MAX(0,H102+I102-J102)</f>
        <v/>
      </c>
      <c r="L102" s="152">
        <f>O101</f>
        <v/>
      </c>
      <c r="M102" s="159">
        <f>IF(L102&gt;0.005,L102*Debts!D10/12,0)</f>
        <v/>
      </c>
      <c r="N102" s="159" t="n">
        <v>0</v>
      </c>
      <c r="O102" s="152">
        <f>MAX(0,L102+M102-N102)</f>
        <v/>
      </c>
      <c r="P102" s="152">
        <f>S101</f>
        <v/>
      </c>
      <c r="Q102" s="159">
        <f>IF(P102&gt;0.005,P102*Debts!D11/12,0)</f>
        <v/>
      </c>
      <c r="R102" s="159" t="n">
        <v>0</v>
      </c>
      <c r="S102" s="152">
        <f>MAX(0,P102+Q102-R102)</f>
        <v/>
      </c>
      <c r="T102" s="152">
        <f>W101</f>
        <v/>
      </c>
      <c r="U102" s="159">
        <f>IF(T102&gt;0.005,T102*Debts!D12/12,0)</f>
        <v/>
      </c>
      <c r="V102" s="159" t="n">
        <v>0</v>
      </c>
      <c r="W102" s="152">
        <f>MAX(0,T102+U102-V102)</f>
        <v/>
      </c>
      <c r="X102" s="152">
        <f>AA101</f>
        <v/>
      </c>
      <c r="Y102" s="159">
        <f>IF(X102&gt;0.005,X102*Debts!D13/12,0)</f>
        <v/>
      </c>
      <c r="Z102" s="159" t="n">
        <v>0</v>
      </c>
      <c r="AA102" s="152">
        <f>MAX(0,X102+Y102-Z102)</f>
        <v/>
      </c>
      <c r="AB102" s="152">
        <f>AE101</f>
        <v/>
      </c>
      <c r="AC102" s="159">
        <f>IF(AB102&gt;0.005,AB102*Debts!D14/12,0)</f>
        <v/>
      </c>
      <c r="AD102" s="159" t="n">
        <v>0</v>
      </c>
      <c r="AE102" s="152">
        <f>MAX(0,AB102+AC102-AD102)</f>
        <v/>
      </c>
      <c r="AF102" s="152">
        <f>AI101</f>
        <v/>
      </c>
      <c r="AG102" s="159">
        <f>IF(AF102&gt;0.005,AF102*Debts!D15/12,0)</f>
        <v/>
      </c>
      <c r="AH102" s="159" t="n">
        <v>0</v>
      </c>
      <c r="AI102" s="152">
        <f>MAX(0,AF102+AG102-AH102)</f>
        <v/>
      </c>
      <c r="AJ102" s="152">
        <f>AM101</f>
        <v/>
      </c>
      <c r="AK102" s="159">
        <f>IF(AJ102&gt;0.005,AJ102*Debts!D16/12,0)</f>
        <v/>
      </c>
      <c r="AL102" s="159" t="n">
        <v>0</v>
      </c>
      <c r="AM102" s="152">
        <f>MAX(0,AJ102+AK102-AL102)</f>
        <v/>
      </c>
      <c r="AN102" s="152">
        <f>AQ101</f>
        <v/>
      </c>
      <c r="AO102" s="159">
        <f>IF(AN102&gt;0.005,AN102*Debts!D17/12,0)</f>
        <v/>
      </c>
      <c r="AP102" s="159" t="n">
        <v>0</v>
      </c>
      <c r="AQ102" s="152">
        <f>MAX(0,AN102+AO102-AP102)</f>
        <v/>
      </c>
      <c r="AR102" s="152">
        <f>AU101</f>
        <v/>
      </c>
      <c r="AS102" s="159">
        <f>IF(AR102&gt;0.005,AR102*Debts!D18/12,0)</f>
        <v/>
      </c>
      <c r="AT102" s="159" t="n">
        <v>0</v>
      </c>
      <c r="AU102" s="152">
        <f>MAX(0,AR102+AS102-AT102)</f>
        <v/>
      </c>
      <c r="AV102" s="152">
        <f>AY101</f>
        <v/>
      </c>
      <c r="AW102" s="159">
        <f>IF(AV102&gt;0.005,AV102*Debts!D19/12,0)</f>
        <v/>
      </c>
      <c r="AX102" s="159" t="n">
        <v>0</v>
      </c>
      <c r="AY102" s="152">
        <f>MAX(0,AV102+AW102-AX102)</f>
        <v/>
      </c>
      <c r="AZ102" s="152">
        <f>BC101</f>
        <v/>
      </c>
      <c r="BA102" s="159">
        <f>IF(AZ102&gt;0.005,AZ102*Debts!D20/12,0)</f>
        <v/>
      </c>
      <c r="BB102" s="159" t="n">
        <v>0</v>
      </c>
      <c r="BC102" s="152">
        <f>MAX(0,AZ102+BA102-BB102)</f>
        <v/>
      </c>
      <c r="BD102" s="152">
        <f>BG101</f>
        <v/>
      </c>
      <c r="BE102" s="159">
        <f>IF(BD102&gt;0.005,BD102*Debts!D21/12,0)</f>
        <v/>
      </c>
      <c r="BF102" s="159" t="n">
        <v>0</v>
      </c>
      <c r="BG102" s="152">
        <f>MAX(0,BD102+BE102-BF102)</f>
        <v/>
      </c>
      <c r="BH102" s="152">
        <f>BK101</f>
        <v/>
      </c>
      <c r="BI102" s="159">
        <f>IF(BH102&gt;0.005,BH102*Debts!D22/12,0)</f>
        <v/>
      </c>
      <c r="BJ102" s="159" t="n">
        <v>0</v>
      </c>
      <c r="BK102" s="152">
        <f>MAX(0,BH102+BI102-BJ102)</f>
        <v/>
      </c>
      <c r="BL102" s="152">
        <f>BO101</f>
        <v/>
      </c>
      <c r="BM102" s="159">
        <f>IF(BL102&gt;0.005,BL102*Debts!D23/12,0)</f>
        <v/>
      </c>
      <c r="BN102" s="159" t="n">
        <v>0</v>
      </c>
      <c r="BO102" s="152">
        <f>MAX(0,BL102+BM102-BN102)</f>
        <v/>
      </c>
      <c r="BP102" s="152">
        <f>BS101</f>
        <v/>
      </c>
      <c r="BQ102" s="159">
        <f>IF(BP102&gt;0.005,BP102*Debts!D24/12,0)</f>
        <v/>
      </c>
      <c r="BR102" s="159" t="n">
        <v>0</v>
      </c>
      <c r="BS102" s="152">
        <f>MAX(0,BP102+BQ102-BR102)</f>
        <v/>
      </c>
      <c r="BT102" s="152">
        <f>BW101</f>
        <v/>
      </c>
      <c r="BU102" s="159">
        <f>IF(BT102&gt;0.005,BT102*Debts!D25/12,0)</f>
        <v/>
      </c>
      <c r="BV102" s="159" t="n">
        <v>0</v>
      </c>
      <c r="BW102" s="152">
        <f>MAX(0,BT102+BU102-BV102)</f>
        <v/>
      </c>
      <c r="BX102" s="152">
        <f>CA101</f>
        <v/>
      </c>
      <c r="BY102" s="159">
        <f>IF(BX102&gt;0.005,BX102*Debts!D26/12,0)</f>
        <v/>
      </c>
      <c r="BZ102" s="159" t="n">
        <v>0</v>
      </c>
      <c r="CA102" s="152">
        <f>MAX(0,BX102+BY102-BZ102)</f>
        <v/>
      </c>
      <c r="CB102" s="152">
        <f>CE101</f>
        <v/>
      </c>
      <c r="CC102" s="159">
        <f>IF(CB102&gt;0.005,CB102*Debts!D27/12,0)</f>
        <v/>
      </c>
      <c r="CD102" s="159" t="n">
        <v>0</v>
      </c>
      <c r="CE102" s="152">
        <f>MAX(0,CB102+CC102-CD102)</f>
        <v/>
      </c>
      <c r="CF102" s="152">
        <f>G102+K102+O102+S102+W102+AA102+AE102+AI102+AM102+AQ102+AU102+AY102+BC102+BG102+BK102+BO102+BS102+BW102+CA102+CE102</f>
        <v/>
      </c>
      <c r="CG102" s="159">
        <f>E102+I102+M102+Q102+U102+Y102+AC102+AG102+AK102+AO102+AS102+AW102+BA102+BE102+BI102+BM102+BQ102+BU102+BY102+CC102</f>
        <v/>
      </c>
      <c r="CH102" s="152">
        <f>CH101+CG102</f>
        <v/>
      </c>
      <c r="CI102" s="148" t="n"/>
      <c r="CJ102" s="148" t="n"/>
    </row>
    <row r="103" ht="15" customHeight="1" s="83">
      <c r="A103" s="148" t="n"/>
      <c r="B103" s="158" t="n">
        <v>99</v>
      </c>
      <c r="C103" s="152">
        <f>F103+J103+N103+R103+V103+Z103+AD103+AH103+AL103+AP103+AT103+AX103+BB103+BF103+BJ103+BN103+BR103+BV103+BZ103+CD103</f>
        <v/>
      </c>
      <c r="D103" s="152">
        <f>G102</f>
        <v/>
      </c>
      <c r="E103" s="159">
        <f>IF(D103&gt;0.005,D103*Debts!D8/12,0)</f>
        <v/>
      </c>
      <c r="F103" s="159" t="n">
        <v>0</v>
      </c>
      <c r="G103" s="152">
        <f>MAX(0,D103+E103-F103)</f>
        <v/>
      </c>
      <c r="H103" s="152">
        <f>K102</f>
        <v/>
      </c>
      <c r="I103" s="159">
        <f>IF(H103&gt;0.005,H103*Debts!D9/12,0)</f>
        <v/>
      </c>
      <c r="J103" s="159" t="n">
        <v>0</v>
      </c>
      <c r="K103" s="152">
        <f>MAX(0,H103+I103-J103)</f>
        <v/>
      </c>
      <c r="L103" s="152">
        <f>O102</f>
        <v/>
      </c>
      <c r="M103" s="159">
        <f>IF(L103&gt;0.005,L103*Debts!D10/12,0)</f>
        <v/>
      </c>
      <c r="N103" s="159" t="n">
        <v>0</v>
      </c>
      <c r="O103" s="152">
        <f>MAX(0,L103+M103-N103)</f>
        <v/>
      </c>
      <c r="P103" s="152">
        <f>S102</f>
        <v/>
      </c>
      <c r="Q103" s="159">
        <f>IF(P103&gt;0.005,P103*Debts!D11/12,0)</f>
        <v/>
      </c>
      <c r="R103" s="159" t="n">
        <v>0</v>
      </c>
      <c r="S103" s="152">
        <f>MAX(0,P103+Q103-R103)</f>
        <v/>
      </c>
      <c r="T103" s="152">
        <f>W102</f>
        <v/>
      </c>
      <c r="U103" s="159">
        <f>IF(T103&gt;0.005,T103*Debts!D12/12,0)</f>
        <v/>
      </c>
      <c r="V103" s="159" t="n">
        <v>0</v>
      </c>
      <c r="W103" s="152">
        <f>MAX(0,T103+U103-V103)</f>
        <v/>
      </c>
      <c r="X103" s="152">
        <f>AA102</f>
        <v/>
      </c>
      <c r="Y103" s="159">
        <f>IF(X103&gt;0.005,X103*Debts!D13/12,0)</f>
        <v/>
      </c>
      <c r="Z103" s="159" t="n">
        <v>0</v>
      </c>
      <c r="AA103" s="152">
        <f>MAX(0,X103+Y103-Z103)</f>
        <v/>
      </c>
      <c r="AB103" s="152">
        <f>AE102</f>
        <v/>
      </c>
      <c r="AC103" s="159">
        <f>IF(AB103&gt;0.005,AB103*Debts!D14/12,0)</f>
        <v/>
      </c>
      <c r="AD103" s="159" t="n">
        <v>0</v>
      </c>
      <c r="AE103" s="152">
        <f>MAX(0,AB103+AC103-AD103)</f>
        <v/>
      </c>
      <c r="AF103" s="152">
        <f>AI102</f>
        <v/>
      </c>
      <c r="AG103" s="159">
        <f>IF(AF103&gt;0.005,AF103*Debts!D15/12,0)</f>
        <v/>
      </c>
      <c r="AH103" s="159" t="n">
        <v>0</v>
      </c>
      <c r="AI103" s="152">
        <f>MAX(0,AF103+AG103-AH103)</f>
        <v/>
      </c>
      <c r="AJ103" s="152">
        <f>AM102</f>
        <v/>
      </c>
      <c r="AK103" s="159">
        <f>IF(AJ103&gt;0.005,AJ103*Debts!D16/12,0)</f>
        <v/>
      </c>
      <c r="AL103" s="159" t="n">
        <v>0</v>
      </c>
      <c r="AM103" s="152">
        <f>MAX(0,AJ103+AK103-AL103)</f>
        <v/>
      </c>
      <c r="AN103" s="152">
        <f>AQ102</f>
        <v/>
      </c>
      <c r="AO103" s="159">
        <f>IF(AN103&gt;0.005,AN103*Debts!D17/12,0)</f>
        <v/>
      </c>
      <c r="AP103" s="159" t="n">
        <v>0</v>
      </c>
      <c r="AQ103" s="152">
        <f>MAX(0,AN103+AO103-AP103)</f>
        <v/>
      </c>
      <c r="AR103" s="152">
        <f>AU102</f>
        <v/>
      </c>
      <c r="AS103" s="159">
        <f>IF(AR103&gt;0.005,AR103*Debts!D18/12,0)</f>
        <v/>
      </c>
      <c r="AT103" s="159" t="n">
        <v>0</v>
      </c>
      <c r="AU103" s="152">
        <f>MAX(0,AR103+AS103-AT103)</f>
        <v/>
      </c>
      <c r="AV103" s="152">
        <f>AY102</f>
        <v/>
      </c>
      <c r="AW103" s="159">
        <f>IF(AV103&gt;0.005,AV103*Debts!D19/12,0)</f>
        <v/>
      </c>
      <c r="AX103" s="159" t="n">
        <v>0</v>
      </c>
      <c r="AY103" s="152">
        <f>MAX(0,AV103+AW103-AX103)</f>
        <v/>
      </c>
      <c r="AZ103" s="152">
        <f>BC102</f>
        <v/>
      </c>
      <c r="BA103" s="159">
        <f>IF(AZ103&gt;0.005,AZ103*Debts!D20/12,0)</f>
        <v/>
      </c>
      <c r="BB103" s="159" t="n">
        <v>0</v>
      </c>
      <c r="BC103" s="152">
        <f>MAX(0,AZ103+BA103-BB103)</f>
        <v/>
      </c>
      <c r="BD103" s="152">
        <f>BG102</f>
        <v/>
      </c>
      <c r="BE103" s="159">
        <f>IF(BD103&gt;0.005,BD103*Debts!D21/12,0)</f>
        <v/>
      </c>
      <c r="BF103" s="159" t="n">
        <v>0</v>
      </c>
      <c r="BG103" s="152">
        <f>MAX(0,BD103+BE103-BF103)</f>
        <v/>
      </c>
      <c r="BH103" s="152">
        <f>BK102</f>
        <v/>
      </c>
      <c r="BI103" s="159">
        <f>IF(BH103&gt;0.005,BH103*Debts!D22/12,0)</f>
        <v/>
      </c>
      <c r="BJ103" s="159" t="n">
        <v>0</v>
      </c>
      <c r="BK103" s="152">
        <f>MAX(0,BH103+BI103-BJ103)</f>
        <v/>
      </c>
      <c r="BL103" s="152">
        <f>BO102</f>
        <v/>
      </c>
      <c r="BM103" s="159">
        <f>IF(BL103&gt;0.005,BL103*Debts!D23/12,0)</f>
        <v/>
      </c>
      <c r="BN103" s="159" t="n">
        <v>0</v>
      </c>
      <c r="BO103" s="152">
        <f>MAX(0,BL103+BM103-BN103)</f>
        <v/>
      </c>
      <c r="BP103" s="152">
        <f>BS102</f>
        <v/>
      </c>
      <c r="BQ103" s="159">
        <f>IF(BP103&gt;0.005,BP103*Debts!D24/12,0)</f>
        <v/>
      </c>
      <c r="BR103" s="159" t="n">
        <v>0</v>
      </c>
      <c r="BS103" s="152">
        <f>MAX(0,BP103+BQ103-BR103)</f>
        <v/>
      </c>
      <c r="BT103" s="152">
        <f>BW102</f>
        <v/>
      </c>
      <c r="BU103" s="159">
        <f>IF(BT103&gt;0.005,BT103*Debts!D25/12,0)</f>
        <v/>
      </c>
      <c r="BV103" s="159" t="n">
        <v>0</v>
      </c>
      <c r="BW103" s="152">
        <f>MAX(0,BT103+BU103-BV103)</f>
        <v/>
      </c>
      <c r="BX103" s="152">
        <f>CA102</f>
        <v/>
      </c>
      <c r="BY103" s="159">
        <f>IF(BX103&gt;0.005,BX103*Debts!D26/12,0)</f>
        <v/>
      </c>
      <c r="BZ103" s="159" t="n">
        <v>0</v>
      </c>
      <c r="CA103" s="152">
        <f>MAX(0,BX103+BY103-BZ103)</f>
        <v/>
      </c>
      <c r="CB103" s="152">
        <f>CE102</f>
        <v/>
      </c>
      <c r="CC103" s="159">
        <f>IF(CB103&gt;0.005,CB103*Debts!D27/12,0)</f>
        <v/>
      </c>
      <c r="CD103" s="159" t="n">
        <v>0</v>
      </c>
      <c r="CE103" s="152">
        <f>MAX(0,CB103+CC103-CD103)</f>
        <v/>
      </c>
      <c r="CF103" s="152">
        <f>G103+K103+O103+S103+W103+AA103+AE103+AI103+AM103+AQ103+AU103+AY103+BC103+BG103+BK103+BO103+BS103+BW103+CA103+CE103</f>
        <v/>
      </c>
      <c r="CG103" s="159">
        <f>E103+I103+M103+Q103+U103+Y103+AC103+AG103+AK103+AO103+AS103+AW103+BA103+BE103+BI103+BM103+BQ103+BU103+BY103+CC103</f>
        <v/>
      </c>
      <c r="CH103" s="152">
        <f>CH102+CG103</f>
        <v/>
      </c>
      <c r="CI103" s="148" t="n"/>
      <c r="CJ103" s="148" t="n"/>
    </row>
    <row r="104" ht="15" customHeight="1" s="83">
      <c r="A104" s="148" t="n"/>
      <c r="B104" s="158" t="n">
        <v>100</v>
      </c>
      <c r="C104" s="152">
        <f>F104+J104+N104+R104+V104+Z104+AD104+AH104+AL104+AP104+AT104+AX104+BB104+BF104+BJ104+BN104+BR104+BV104+BZ104+CD104</f>
        <v/>
      </c>
      <c r="D104" s="152">
        <f>G103</f>
        <v/>
      </c>
      <c r="E104" s="159">
        <f>IF(D104&gt;0.005,D104*Debts!D8/12,0)</f>
        <v/>
      </c>
      <c r="F104" s="159" t="n">
        <v>0</v>
      </c>
      <c r="G104" s="152">
        <f>MAX(0,D104+E104-F104)</f>
        <v/>
      </c>
      <c r="H104" s="152">
        <f>K103</f>
        <v/>
      </c>
      <c r="I104" s="159">
        <f>IF(H104&gt;0.005,H104*Debts!D9/12,0)</f>
        <v/>
      </c>
      <c r="J104" s="159" t="n">
        <v>0</v>
      </c>
      <c r="K104" s="152">
        <f>MAX(0,H104+I104-J104)</f>
        <v/>
      </c>
      <c r="L104" s="152">
        <f>O103</f>
        <v/>
      </c>
      <c r="M104" s="159">
        <f>IF(L104&gt;0.005,L104*Debts!D10/12,0)</f>
        <v/>
      </c>
      <c r="N104" s="159" t="n">
        <v>0</v>
      </c>
      <c r="O104" s="152">
        <f>MAX(0,L104+M104-N104)</f>
        <v/>
      </c>
      <c r="P104" s="152">
        <f>S103</f>
        <v/>
      </c>
      <c r="Q104" s="159">
        <f>IF(P104&gt;0.005,P104*Debts!D11/12,0)</f>
        <v/>
      </c>
      <c r="R104" s="159" t="n">
        <v>0</v>
      </c>
      <c r="S104" s="152">
        <f>MAX(0,P104+Q104-R104)</f>
        <v/>
      </c>
      <c r="T104" s="152">
        <f>W103</f>
        <v/>
      </c>
      <c r="U104" s="159">
        <f>IF(T104&gt;0.005,T104*Debts!D12/12,0)</f>
        <v/>
      </c>
      <c r="V104" s="159" t="n">
        <v>0</v>
      </c>
      <c r="W104" s="152">
        <f>MAX(0,T104+U104-V104)</f>
        <v/>
      </c>
      <c r="X104" s="152">
        <f>AA103</f>
        <v/>
      </c>
      <c r="Y104" s="159">
        <f>IF(X104&gt;0.005,X104*Debts!D13/12,0)</f>
        <v/>
      </c>
      <c r="Z104" s="159" t="n">
        <v>0</v>
      </c>
      <c r="AA104" s="152">
        <f>MAX(0,X104+Y104-Z104)</f>
        <v/>
      </c>
      <c r="AB104" s="152">
        <f>AE103</f>
        <v/>
      </c>
      <c r="AC104" s="159">
        <f>IF(AB104&gt;0.005,AB104*Debts!D14/12,0)</f>
        <v/>
      </c>
      <c r="AD104" s="159" t="n">
        <v>0</v>
      </c>
      <c r="AE104" s="152">
        <f>MAX(0,AB104+AC104-AD104)</f>
        <v/>
      </c>
      <c r="AF104" s="152">
        <f>AI103</f>
        <v/>
      </c>
      <c r="AG104" s="159">
        <f>IF(AF104&gt;0.005,AF104*Debts!D15/12,0)</f>
        <v/>
      </c>
      <c r="AH104" s="159" t="n">
        <v>0</v>
      </c>
      <c r="AI104" s="152">
        <f>MAX(0,AF104+AG104-AH104)</f>
        <v/>
      </c>
      <c r="AJ104" s="152">
        <f>AM103</f>
        <v/>
      </c>
      <c r="AK104" s="159">
        <f>IF(AJ104&gt;0.005,AJ104*Debts!D16/12,0)</f>
        <v/>
      </c>
      <c r="AL104" s="159" t="n">
        <v>0</v>
      </c>
      <c r="AM104" s="152">
        <f>MAX(0,AJ104+AK104-AL104)</f>
        <v/>
      </c>
      <c r="AN104" s="152">
        <f>AQ103</f>
        <v/>
      </c>
      <c r="AO104" s="159">
        <f>IF(AN104&gt;0.005,AN104*Debts!D17/12,0)</f>
        <v/>
      </c>
      <c r="AP104" s="159" t="n">
        <v>0</v>
      </c>
      <c r="AQ104" s="152">
        <f>MAX(0,AN104+AO104-AP104)</f>
        <v/>
      </c>
      <c r="AR104" s="152">
        <f>AU103</f>
        <v/>
      </c>
      <c r="AS104" s="159">
        <f>IF(AR104&gt;0.005,AR104*Debts!D18/12,0)</f>
        <v/>
      </c>
      <c r="AT104" s="159" t="n">
        <v>0</v>
      </c>
      <c r="AU104" s="152">
        <f>MAX(0,AR104+AS104-AT104)</f>
        <v/>
      </c>
      <c r="AV104" s="152">
        <f>AY103</f>
        <v/>
      </c>
      <c r="AW104" s="159">
        <f>IF(AV104&gt;0.005,AV104*Debts!D19/12,0)</f>
        <v/>
      </c>
      <c r="AX104" s="159" t="n">
        <v>0</v>
      </c>
      <c r="AY104" s="152">
        <f>MAX(0,AV104+AW104-AX104)</f>
        <v/>
      </c>
      <c r="AZ104" s="152">
        <f>BC103</f>
        <v/>
      </c>
      <c r="BA104" s="159">
        <f>IF(AZ104&gt;0.005,AZ104*Debts!D20/12,0)</f>
        <v/>
      </c>
      <c r="BB104" s="159" t="n">
        <v>0</v>
      </c>
      <c r="BC104" s="152">
        <f>MAX(0,AZ104+BA104-BB104)</f>
        <v/>
      </c>
      <c r="BD104" s="152">
        <f>BG103</f>
        <v/>
      </c>
      <c r="BE104" s="159">
        <f>IF(BD104&gt;0.005,BD104*Debts!D21/12,0)</f>
        <v/>
      </c>
      <c r="BF104" s="159" t="n">
        <v>0</v>
      </c>
      <c r="BG104" s="152">
        <f>MAX(0,BD104+BE104-BF104)</f>
        <v/>
      </c>
      <c r="BH104" s="152">
        <f>BK103</f>
        <v/>
      </c>
      <c r="BI104" s="159">
        <f>IF(BH104&gt;0.005,BH104*Debts!D22/12,0)</f>
        <v/>
      </c>
      <c r="BJ104" s="159" t="n">
        <v>0</v>
      </c>
      <c r="BK104" s="152">
        <f>MAX(0,BH104+BI104-BJ104)</f>
        <v/>
      </c>
      <c r="BL104" s="152">
        <f>BO103</f>
        <v/>
      </c>
      <c r="BM104" s="159">
        <f>IF(BL104&gt;0.005,BL104*Debts!D23/12,0)</f>
        <v/>
      </c>
      <c r="BN104" s="159" t="n">
        <v>0</v>
      </c>
      <c r="BO104" s="152">
        <f>MAX(0,BL104+BM104-BN104)</f>
        <v/>
      </c>
      <c r="BP104" s="152">
        <f>BS103</f>
        <v/>
      </c>
      <c r="BQ104" s="159">
        <f>IF(BP104&gt;0.005,BP104*Debts!D24/12,0)</f>
        <v/>
      </c>
      <c r="BR104" s="159" t="n">
        <v>0</v>
      </c>
      <c r="BS104" s="152">
        <f>MAX(0,BP104+BQ104-BR104)</f>
        <v/>
      </c>
      <c r="BT104" s="152">
        <f>BW103</f>
        <v/>
      </c>
      <c r="BU104" s="159">
        <f>IF(BT104&gt;0.005,BT104*Debts!D25/12,0)</f>
        <v/>
      </c>
      <c r="BV104" s="159" t="n">
        <v>0</v>
      </c>
      <c r="BW104" s="152">
        <f>MAX(0,BT104+BU104-BV104)</f>
        <v/>
      </c>
      <c r="BX104" s="152">
        <f>CA103</f>
        <v/>
      </c>
      <c r="BY104" s="159">
        <f>IF(BX104&gt;0.005,BX104*Debts!D26/12,0)</f>
        <v/>
      </c>
      <c r="BZ104" s="159" t="n">
        <v>0</v>
      </c>
      <c r="CA104" s="152">
        <f>MAX(0,BX104+BY104-BZ104)</f>
        <v/>
      </c>
      <c r="CB104" s="152">
        <f>CE103</f>
        <v/>
      </c>
      <c r="CC104" s="159">
        <f>IF(CB104&gt;0.005,CB104*Debts!D27/12,0)</f>
        <v/>
      </c>
      <c r="CD104" s="159" t="n">
        <v>0</v>
      </c>
      <c r="CE104" s="152">
        <f>MAX(0,CB104+CC104-CD104)</f>
        <v/>
      </c>
      <c r="CF104" s="152">
        <f>G104+K104+O104+S104+W104+AA104+AE104+AI104+AM104+AQ104+AU104+AY104+BC104+BG104+BK104+BO104+BS104+BW104+CA104+CE104</f>
        <v/>
      </c>
      <c r="CG104" s="159">
        <f>E104+I104+M104+Q104+U104+Y104+AC104+AG104+AK104+AO104+AS104+AW104+BA104+BE104+BI104+BM104+BQ104+BU104+BY104+CC104</f>
        <v/>
      </c>
      <c r="CH104" s="152">
        <f>CH103+CG104</f>
        <v/>
      </c>
      <c r="CI104" s="148" t="n"/>
      <c r="CJ104" s="148" t="n"/>
    </row>
    <row r="105" ht="15" customHeight="1" s="83">
      <c r="A105" s="148" t="n"/>
      <c r="B105" s="158" t="n">
        <v>101</v>
      </c>
      <c r="C105" s="152">
        <f>F105+J105+N105+R105+V105+Z105+AD105+AH105+AL105+AP105+AT105+AX105+BB105+BF105+BJ105+BN105+BR105+BV105+BZ105+CD105</f>
        <v/>
      </c>
      <c r="D105" s="152">
        <f>G104</f>
        <v/>
      </c>
      <c r="E105" s="159">
        <f>IF(D105&gt;0.005,D105*Debts!D8/12,0)</f>
        <v/>
      </c>
      <c r="F105" s="159" t="n">
        <v>0</v>
      </c>
      <c r="G105" s="152">
        <f>MAX(0,D105+E105-F105)</f>
        <v/>
      </c>
      <c r="H105" s="152">
        <f>K104</f>
        <v/>
      </c>
      <c r="I105" s="159">
        <f>IF(H105&gt;0.005,H105*Debts!D9/12,0)</f>
        <v/>
      </c>
      <c r="J105" s="159" t="n">
        <v>0</v>
      </c>
      <c r="K105" s="152">
        <f>MAX(0,H105+I105-J105)</f>
        <v/>
      </c>
      <c r="L105" s="152">
        <f>O104</f>
        <v/>
      </c>
      <c r="M105" s="159">
        <f>IF(L105&gt;0.005,L105*Debts!D10/12,0)</f>
        <v/>
      </c>
      <c r="N105" s="159" t="n">
        <v>0</v>
      </c>
      <c r="O105" s="152">
        <f>MAX(0,L105+M105-N105)</f>
        <v/>
      </c>
      <c r="P105" s="152">
        <f>S104</f>
        <v/>
      </c>
      <c r="Q105" s="159">
        <f>IF(P105&gt;0.005,P105*Debts!D11/12,0)</f>
        <v/>
      </c>
      <c r="R105" s="159" t="n">
        <v>0</v>
      </c>
      <c r="S105" s="152">
        <f>MAX(0,P105+Q105-R105)</f>
        <v/>
      </c>
      <c r="T105" s="152">
        <f>W104</f>
        <v/>
      </c>
      <c r="U105" s="159">
        <f>IF(T105&gt;0.005,T105*Debts!D12/12,0)</f>
        <v/>
      </c>
      <c r="V105" s="159" t="n">
        <v>0</v>
      </c>
      <c r="W105" s="152">
        <f>MAX(0,T105+U105-V105)</f>
        <v/>
      </c>
      <c r="X105" s="152">
        <f>AA104</f>
        <v/>
      </c>
      <c r="Y105" s="159">
        <f>IF(X105&gt;0.005,X105*Debts!D13/12,0)</f>
        <v/>
      </c>
      <c r="Z105" s="159" t="n">
        <v>0</v>
      </c>
      <c r="AA105" s="152">
        <f>MAX(0,X105+Y105-Z105)</f>
        <v/>
      </c>
      <c r="AB105" s="152">
        <f>AE104</f>
        <v/>
      </c>
      <c r="AC105" s="159">
        <f>IF(AB105&gt;0.005,AB105*Debts!D14/12,0)</f>
        <v/>
      </c>
      <c r="AD105" s="159" t="n">
        <v>0</v>
      </c>
      <c r="AE105" s="152">
        <f>MAX(0,AB105+AC105-AD105)</f>
        <v/>
      </c>
      <c r="AF105" s="152">
        <f>AI104</f>
        <v/>
      </c>
      <c r="AG105" s="159">
        <f>IF(AF105&gt;0.005,AF105*Debts!D15/12,0)</f>
        <v/>
      </c>
      <c r="AH105" s="159" t="n">
        <v>0</v>
      </c>
      <c r="AI105" s="152">
        <f>MAX(0,AF105+AG105-AH105)</f>
        <v/>
      </c>
      <c r="AJ105" s="152">
        <f>AM104</f>
        <v/>
      </c>
      <c r="AK105" s="159">
        <f>IF(AJ105&gt;0.005,AJ105*Debts!D16/12,0)</f>
        <v/>
      </c>
      <c r="AL105" s="159" t="n">
        <v>0</v>
      </c>
      <c r="AM105" s="152">
        <f>MAX(0,AJ105+AK105-AL105)</f>
        <v/>
      </c>
      <c r="AN105" s="152">
        <f>AQ104</f>
        <v/>
      </c>
      <c r="AO105" s="159">
        <f>IF(AN105&gt;0.005,AN105*Debts!D17/12,0)</f>
        <v/>
      </c>
      <c r="AP105" s="159" t="n">
        <v>0</v>
      </c>
      <c r="AQ105" s="152">
        <f>MAX(0,AN105+AO105-AP105)</f>
        <v/>
      </c>
      <c r="AR105" s="152">
        <f>AU104</f>
        <v/>
      </c>
      <c r="AS105" s="159">
        <f>IF(AR105&gt;0.005,AR105*Debts!D18/12,0)</f>
        <v/>
      </c>
      <c r="AT105" s="159" t="n">
        <v>0</v>
      </c>
      <c r="AU105" s="152">
        <f>MAX(0,AR105+AS105-AT105)</f>
        <v/>
      </c>
      <c r="AV105" s="152">
        <f>AY104</f>
        <v/>
      </c>
      <c r="AW105" s="159">
        <f>IF(AV105&gt;0.005,AV105*Debts!D19/12,0)</f>
        <v/>
      </c>
      <c r="AX105" s="159" t="n">
        <v>0</v>
      </c>
      <c r="AY105" s="152">
        <f>MAX(0,AV105+AW105-AX105)</f>
        <v/>
      </c>
      <c r="AZ105" s="152">
        <f>BC104</f>
        <v/>
      </c>
      <c r="BA105" s="159">
        <f>IF(AZ105&gt;0.005,AZ105*Debts!D20/12,0)</f>
        <v/>
      </c>
      <c r="BB105" s="159" t="n">
        <v>0</v>
      </c>
      <c r="BC105" s="152">
        <f>MAX(0,AZ105+BA105-BB105)</f>
        <v/>
      </c>
      <c r="BD105" s="152">
        <f>BG104</f>
        <v/>
      </c>
      <c r="BE105" s="159">
        <f>IF(BD105&gt;0.005,BD105*Debts!D21/12,0)</f>
        <v/>
      </c>
      <c r="BF105" s="159" t="n">
        <v>0</v>
      </c>
      <c r="BG105" s="152">
        <f>MAX(0,BD105+BE105-BF105)</f>
        <v/>
      </c>
      <c r="BH105" s="152">
        <f>BK104</f>
        <v/>
      </c>
      <c r="BI105" s="159">
        <f>IF(BH105&gt;0.005,BH105*Debts!D22/12,0)</f>
        <v/>
      </c>
      <c r="BJ105" s="159" t="n">
        <v>0</v>
      </c>
      <c r="BK105" s="152">
        <f>MAX(0,BH105+BI105-BJ105)</f>
        <v/>
      </c>
      <c r="BL105" s="152">
        <f>BO104</f>
        <v/>
      </c>
      <c r="BM105" s="159">
        <f>IF(BL105&gt;0.005,BL105*Debts!D23/12,0)</f>
        <v/>
      </c>
      <c r="BN105" s="159" t="n">
        <v>0</v>
      </c>
      <c r="BO105" s="152">
        <f>MAX(0,BL105+BM105-BN105)</f>
        <v/>
      </c>
      <c r="BP105" s="152">
        <f>BS104</f>
        <v/>
      </c>
      <c r="BQ105" s="159">
        <f>IF(BP105&gt;0.005,BP105*Debts!D24/12,0)</f>
        <v/>
      </c>
      <c r="BR105" s="159" t="n">
        <v>0</v>
      </c>
      <c r="BS105" s="152">
        <f>MAX(0,BP105+BQ105-BR105)</f>
        <v/>
      </c>
      <c r="BT105" s="152">
        <f>BW104</f>
        <v/>
      </c>
      <c r="BU105" s="159">
        <f>IF(BT105&gt;0.005,BT105*Debts!D25/12,0)</f>
        <v/>
      </c>
      <c r="BV105" s="159" t="n">
        <v>0</v>
      </c>
      <c r="BW105" s="152">
        <f>MAX(0,BT105+BU105-BV105)</f>
        <v/>
      </c>
      <c r="BX105" s="152">
        <f>CA104</f>
        <v/>
      </c>
      <c r="BY105" s="159">
        <f>IF(BX105&gt;0.005,BX105*Debts!D26/12,0)</f>
        <v/>
      </c>
      <c r="BZ105" s="159" t="n">
        <v>0</v>
      </c>
      <c r="CA105" s="152">
        <f>MAX(0,BX105+BY105-BZ105)</f>
        <v/>
      </c>
      <c r="CB105" s="152">
        <f>CE104</f>
        <v/>
      </c>
      <c r="CC105" s="159">
        <f>IF(CB105&gt;0.005,CB105*Debts!D27/12,0)</f>
        <v/>
      </c>
      <c r="CD105" s="159" t="n">
        <v>0</v>
      </c>
      <c r="CE105" s="152">
        <f>MAX(0,CB105+CC105-CD105)</f>
        <v/>
      </c>
      <c r="CF105" s="152">
        <f>G105+K105+O105+S105+W105+AA105+AE105+AI105+AM105+AQ105+AU105+AY105+BC105+BG105+BK105+BO105+BS105+BW105+CA105+CE105</f>
        <v/>
      </c>
      <c r="CG105" s="159">
        <f>E105+I105+M105+Q105+U105+Y105+AC105+AG105+AK105+AO105+AS105+AW105+BA105+BE105+BI105+BM105+BQ105+BU105+BY105+CC105</f>
        <v/>
      </c>
      <c r="CH105" s="152">
        <f>CH104+CG105</f>
        <v/>
      </c>
      <c r="CI105" s="148" t="n"/>
      <c r="CJ105" s="148" t="n"/>
    </row>
    <row r="106" ht="15" customHeight="1" s="83">
      <c r="A106" s="148" t="n"/>
      <c r="B106" s="158" t="n">
        <v>102</v>
      </c>
      <c r="C106" s="152">
        <f>F106+J106+N106+R106+V106+Z106+AD106+AH106+AL106+AP106+AT106+AX106+BB106+BF106+BJ106+BN106+BR106+BV106+BZ106+CD106</f>
        <v/>
      </c>
      <c r="D106" s="152">
        <f>G105</f>
        <v/>
      </c>
      <c r="E106" s="159">
        <f>IF(D106&gt;0.005,D106*Debts!D8/12,0)</f>
        <v/>
      </c>
      <c r="F106" s="159" t="n">
        <v>0</v>
      </c>
      <c r="G106" s="152">
        <f>MAX(0,D106+E106-F106)</f>
        <v/>
      </c>
      <c r="H106" s="152">
        <f>K105</f>
        <v/>
      </c>
      <c r="I106" s="159">
        <f>IF(H106&gt;0.005,H106*Debts!D9/12,0)</f>
        <v/>
      </c>
      <c r="J106" s="159" t="n">
        <v>0</v>
      </c>
      <c r="K106" s="152">
        <f>MAX(0,H106+I106-J106)</f>
        <v/>
      </c>
      <c r="L106" s="152">
        <f>O105</f>
        <v/>
      </c>
      <c r="M106" s="159">
        <f>IF(L106&gt;0.005,L106*Debts!D10/12,0)</f>
        <v/>
      </c>
      <c r="N106" s="159" t="n">
        <v>0</v>
      </c>
      <c r="O106" s="152">
        <f>MAX(0,L106+M106-N106)</f>
        <v/>
      </c>
      <c r="P106" s="152">
        <f>S105</f>
        <v/>
      </c>
      <c r="Q106" s="159">
        <f>IF(P106&gt;0.005,P106*Debts!D11/12,0)</f>
        <v/>
      </c>
      <c r="R106" s="159" t="n">
        <v>0</v>
      </c>
      <c r="S106" s="152">
        <f>MAX(0,P106+Q106-R106)</f>
        <v/>
      </c>
      <c r="T106" s="152">
        <f>W105</f>
        <v/>
      </c>
      <c r="U106" s="159">
        <f>IF(T106&gt;0.005,T106*Debts!D12/12,0)</f>
        <v/>
      </c>
      <c r="V106" s="159" t="n">
        <v>0</v>
      </c>
      <c r="W106" s="152">
        <f>MAX(0,T106+U106-V106)</f>
        <v/>
      </c>
      <c r="X106" s="152">
        <f>AA105</f>
        <v/>
      </c>
      <c r="Y106" s="159">
        <f>IF(X106&gt;0.005,X106*Debts!D13/12,0)</f>
        <v/>
      </c>
      <c r="Z106" s="159" t="n">
        <v>0</v>
      </c>
      <c r="AA106" s="152">
        <f>MAX(0,X106+Y106-Z106)</f>
        <v/>
      </c>
      <c r="AB106" s="152">
        <f>AE105</f>
        <v/>
      </c>
      <c r="AC106" s="159">
        <f>IF(AB106&gt;0.005,AB106*Debts!D14/12,0)</f>
        <v/>
      </c>
      <c r="AD106" s="159" t="n">
        <v>0</v>
      </c>
      <c r="AE106" s="152">
        <f>MAX(0,AB106+AC106-AD106)</f>
        <v/>
      </c>
      <c r="AF106" s="152">
        <f>AI105</f>
        <v/>
      </c>
      <c r="AG106" s="159">
        <f>IF(AF106&gt;0.005,AF106*Debts!D15/12,0)</f>
        <v/>
      </c>
      <c r="AH106" s="159" t="n">
        <v>0</v>
      </c>
      <c r="AI106" s="152">
        <f>MAX(0,AF106+AG106-AH106)</f>
        <v/>
      </c>
      <c r="AJ106" s="152">
        <f>AM105</f>
        <v/>
      </c>
      <c r="AK106" s="159">
        <f>IF(AJ106&gt;0.005,AJ106*Debts!D16/12,0)</f>
        <v/>
      </c>
      <c r="AL106" s="159" t="n">
        <v>0</v>
      </c>
      <c r="AM106" s="152">
        <f>MAX(0,AJ106+AK106-AL106)</f>
        <v/>
      </c>
      <c r="AN106" s="152">
        <f>AQ105</f>
        <v/>
      </c>
      <c r="AO106" s="159">
        <f>IF(AN106&gt;0.005,AN106*Debts!D17/12,0)</f>
        <v/>
      </c>
      <c r="AP106" s="159" t="n">
        <v>0</v>
      </c>
      <c r="AQ106" s="152">
        <f>MAX(0,AN106+AO106-AP106)</f>
        <v/>
      </c>
      <c r="AR106" s="152">
        <f>AU105</f>
        <v/>
      </c>
      <c r="AS106" s="159">
        <f>IF(AR106&gt;0.005,AR106*Debts!D18/12,0)</f>
        <v/>
      </c>
      <c r="AT106" s="159" t="n">
        <v>0</v>
      </c>
      <c r="AU106" s="152">
        <f>MAX(0,AR106+AS106-AT106)</f>
        <v/>
      </c>
      <c r="AV106" s="152">
        <f>AY105</f>
        <v/>
      </c>
      <c r="AW106" s="159">
        <f>IF(AV106&gt;0.005,AV106*Debts!D19/12,0)</f>
        <v/>
      </c>
      <c r="AX106" s="159" t="n">
        <v>0</v>
      </c>
      <c r="AY106" s="152">
        <f>MAX(0,AV106+AW106-AX106)</f>
        <v/>
      </c>
      <c r="AZ106" s="152">
        <f>BC105</f>
        <v/>
      </c>
      <c r="BA106" s="159">
        <f>IF(AZ106&gt;0.005,AZ106*Debts!D20/12,0)</f>
        <v/>
      </c>
      <c r="BB106" s="159" t="n">
        <v>0</v>
      </c>
      <c r="BC106" s="152">
        <f>MAX(0,AZ106+BA106-BB106)</f>
        <v/>
      </c>
      <c r="BD106" s="152">
        <f>BG105</f>
        <v/>
      </c>
      <c r="BE106" s="159">
        <f>IF(BD106&gt;0.005,BD106*Debts!D21/12,0)</f>
        <v/>
      </c>
      <c r="BF106" s="159" t="n">
        <v>0</v>
      </c>
      <c r="BG106" s="152">
        <f>MAX(0,BD106+BE106-BF106)</f>
        <v/>
      </c>
      <c r="BH106" s="152">
        <f>BK105</f>
        <v/>
      </c>
      <c r="BI106" s="159">
        <f>IF(BH106&gt;0.005,BH106*Debts!D22/12,0)</f>
        <v/>
      </c>
      <c r="BJ106" s="159" t="n">
        <v>0</v>
      </c>
      <c r="BK106" s="152">
        <f>MAX(0,BH106+BI106-BJ106)</f>
        <v/>
      </c>
      <c r="BL106" s="152">
        <f>BO105</f>
        <v/>
      </c>
      <c r="BM106" s="159">
        <f>IF(BL106&gt;0.005,BL106*Debts!D23/12,0)</f>
        <v/>
      </c>
      <c r="BN106" s="159" t="n">
        <v>0</v>
      </c>
      <c r="BO106" s="152">
        <f>MAX(0,BL106+BM106-BN106)</f>
        <v/>
      </c>
      <c r="BP106" s="152">
        <f>BS105</f>
        <v/>
      </c>
      <c r="BQ106" s="159">
        <f>IF(BP106&gt;0.005,BP106*Debts!D24/12,0)</f>
        <v/>
      </c>
      <c r="BR106" s="159" t="n">
        <v>0</v>
      </c>
      <c r="BS106" s="152">
        <f>MAX(0,BP106+BQ106-BR106)</f>
        <v/>
      </c>
      <c r="BT106" s="152">
        <f>BW105</f>
        <v/>
      </c>
      <c r="BU106" s="159">
        <f>IF(BT106&gt;0.005,BT106*Debts!D25/12,0)</f>
        <v/>
      </c>
      <c r="BV106" s="159" t="n">
        <v>0</v>
      </c>
      <c r="BW106" s="152">
        <f>MAX(0,BT106+BU106-BV106)</f>
        <v/>
      </c>
      <c r="BX106" s="152">
        <f>CA105</f>
        <v/>
      </c>
      <c r="BY106" s="159">
        <f>IF(BX106&gt;0.005,BX106*Debts!D26/12,0)</f>
        <v/>
      </c>
      <c r="BZ106" s="159" t="n">
        <v>0</v>
      </c>
      <c r="CA106" s="152">
        <f>MAX(0,BX106+BY106-BZ106)</f>
        <v/>
      </c>
      <c r="CB106" s="152">
        <f>CE105</f>
        <v/>
      </c>
      <c r="CC106" s="159">
        <f>IF(CB106&gt;0.005,CB106*Debts!D27/12,0)</f>
        <v/>
      </c>
      <c r="CD106" s="159" t="n">
        <v>0</v>
      </c>
      <c r="CE106" s="152">
        <f>MAX(0,CB106+CC106-CD106)</f>
        <v/>
      </c>
      <c r="CF106" s="152">
        <f>G106+K106+O106+S106+W106+AA106+AE106+AI106+AM106+AQ106+AU106+AY106+BC106+BG106+BK106+BO106+BS106+BW106+CA106+CE106</f>
        <v/>
      </c>
      <c r="CG106" s="159">
        <f>E106+I106+M106+Q106+U106+Y106+AC106+AG106+AK106+AO106+AS106+AW106+BA106+BE106+BI106+BM106+BQ106+BU106+BY106+CC106</f>
        <v/>
      </c>
      <c r="CH106" s="152">
        <f>CH105+CG106</f>
        <v/>
      </c>
      <c r="CI106" s="148" t="n"/>
      <c r="CJ106" s="148" t="n"/>
    </row>
    <row r="107" ht="15" customHeight="1" s="83">
      <c r="A107" s="148" t="n"/>
      <c r="B107" s="158" t="n">
        <v>103</v>
      </c>
      <c r="C107" s="152">
        <f>F107+J107+N107+R107+V107+Z107+AD107+AH107+AL107+AP107+AT107+AX107+BB107+BF107+BJ107+BN107+BR107+BV107+BZ107+CD107</f>
        <v/>
      </c>
      <c r="D107" s="152">
        <f>G106</f>
        <v/>
      </c>
      <c r="E107" s="159">
        <f>IF(D107&gt;0.005,D107*Debts!D8/12,0)</f>
        <v/>
      </c>
      <c r="F107" s="159" t="n">
        <v>0</v>
      </c>
      <c r="G107" s="152">
        <f>MAX(0,D107+E107-F107)</f>
        <v/>
      </c>
      <c r="H107" s="152">
        <f>K106</f>
        <v/>
      </c>
      <c r="I107" s="159">
        <f>IF(H107&gt;0.005,H107*Debts!D9/12,0)</f>
        <v/>
      </c>
      <c r="J107" s="159" t="n">
        <v>0</v>
      </c>
      <c r="K107" s="152">
        <f>MAX(0,H107+I107-J107)</f>
        <v/>
      </c>
      <c r="L107" s="152">
        <f>O106</f>
        <v/>
      </c>
      <c r="M107" s="159">
        <f>IF(L107&gt;0.005,L107*Debts!D10/12,0)</f>
        <v/>
      </c>
      <c r="N107" s="159" t="n">
        <v>0</v>
      </c>
      <c r="O107" s="152">
        <f>MAX(0,L107+M107-N107)</f>
        <v/>
      </c>
      <c r="P107" s="152">
        <f>S106</f>
        <v/>
      </c>
      <c r="Q107" s="159">
        <f>IF(P107&gt;0.005,P107*Debts!D11/12,0)</f>
        <v/>
      </c>
      <c r="R107" s="159" t="n">
        <v>0</v>
      </c>
      <c r="S107" s="152">
        <f>MAX(0,P107+Q107-R107)</f>
        <v/>
      </c>
      <c r="T107" s="152">
        <f>W106</f>
        <v/>
      </c>
      <c r="U107" s="159">
        <f>IF(T107&gt;0.005,T107*Debts!D12/12,0)</f>
        <v/>
      </c>
      <c r="V107" s="159" t="n">
        <v>0</v>
      </c>
      <c r="W107" s="152">
        <f>MAX(0,T107+U107-V107)</f>
        <v/>
      </c>
      <c r="X107" s="152">
        <f>AA106</f>
        <v/>
      </c>
      <c r="Y107" s="159">
        <f>IF(X107&gt;0.005,X107*Debts!D13/12,0)</f>
        <v/>
      </c>
      <c r="Z107" s="159" t="n">
        <v>0</v>
      </c>
      <c r="AA107" s="152">
        <f>MAX(0,X107+Y107-Z107)</f>
        <v/>
      </c>
      <c r="AB107" s="152">
        <f>AE106</f>
        <v/>
      </c>
      <c r="AC107" s="159">
        <f>IF(AB107&gt;0.005,AB107*Debts!D14/12,0)</f>
        <v/>
      </c>
      <c r="AD107" s="159" t="n">
        <v>0</v>
      </c>
      <c r="AE107" s="152">
        <f>MAX(0,AB107+AC107-AD107)</f>
        <v/>
      </c>
      <c r="AF107" s="152">
        <f>AI106</f>
        <v/>
      </c>
      <c r="AG107" s="159">
        <f>IF(AF107&gt;0.005,AF107*Debts!D15/12,0)</f>
        <v/>
      </c>
      <c r="AH107" s="159" t="n">
        <v>0</v>
      </c>
      <c r="AI107" s="152">
        <f>MAX(0,AF107+AG107-AH107)</f>
        <v/>
      </c>
      <c r="AJ107" s="152">
        <f>AM106</f>
        <v/>
      </c>
      <c r="AK107" s="159">
        <f>IF(AJ107&gt;0.005,AJ107*Debts!D16/12,0)</f>
        <v/>
      </c>
      <c r="AL107" s="159" t="n">
        <v>0</v>
      </c>
      <c r="AM107" s="152">
        <f>MAX(0,AJ107+AK107-AL107)</f>
        <v/>
      </c>
      <c r="AN107" s="152">
        <f>AQ106</f>
        <v/>
      </c>
      <c r="AO107" s="159">
        <f>IF(AN107&gt;0.005,AN107*Debts!D17/12,0)</f>
        <v/>
      </c>
      <c r="AP107" s="159" t="n">
        <v>0</v>
      </c>
      <c r="AQ107" s="152">
        <f>MAX(0,AN107+AO107-AP107)</f>
        <v/>
      </c>
      <c r="AR107" s="152">
        <f>AU106</f>
        <v/>
      </c>
      <c r="AS107" s="159">
        <f>IF(AR107&gt;0.005,AR107*Debts!D18/12,0)</f>
        <v/>
      </c>
      <c r="AT107" s="159" t="n">
        <v>0</v>
      </c>
      <c r="AU107" s="152">
        <f>MAX(0,AR107+AS107-AT107)</f>
        <v/>
      </c>
      <c r="AV107" s="152">
        <f>AY106</f>
        <v/>
      </c>
      <c r="AW107" s="159">
        <f>IF(AV107&gt;0.005,AV107*Debts!D19/12,0)</f>
        <v/>
      </c>
      <c r="AX107" s="159" t="n">
        <v>0</v>
      </c>
      <c r="AY107" s="152">
        <f>MAX(0,AV107+AW107-AX107)</f>
        <v/>
      </c>
      <c r="AZ107" s="152">
        <f>BC106</f>
        <v/>
      </c>
      <c r="BA107" s="159">
        <f>IF(AZ107&gt;0.005,AZ107*Debts!D20/12,0)</f>
        <v/>
      </c>
      <c r="BB107" s="159" t="n">
        <v>0</v>
      </c>
      <c r="BC107" s="152">
        <f>MAX(0,AZ107+BA107-BB107)</f>
        <v/>
      </c>
      <c r="BD107" s="152">
        <f>BG106</f>
        <v/>
      </c>
      <c r="BE107" s="159">
        <f>IF(BD107&gt;0.005,BD107*Debts!D21/12,0)</f>
        <v/>
      </c>
      <c r="BF107" s="159" t="n">
        <v>0</v>
      </c>
      <c r="BG107" s="152">
        <f>MAX(0,BD107+BE107-BF107)</f>
        <v/>
      </c>
      <c r="BH107" s="152">
        <f>BK106</f>
        <v/>
      </c>
      <c r="BI107" s="159">
        <f>IF(BH107&gt;0.005,BH107*Debts!D22/12,0)</f>
        <v/>
      </c>
      <c r="BJ107" s="159" t="n">
        <v>0</v>
      </c>
      <c r="BK107" s="152">
        <f>MAX(0,BH107+BI107-BJ107)</f>
        <v/>
      </c>
      <c r="BL107" s="152">
        <f>BO106</f>
        <v/>
      </c>
      <c r="BM107" s="159">
        <f>IF(BL107&gt;0.005,BL107*Debts!D23/12,0)</f>
        <v/>
      </c>
      <c r="BN107" s="159" t="n">
        <v>0</v>
      </c>
      <c r="BO107" s="152">
        <f>MAX(0,BL107+BM107-BN107)</f>
        <v/>
      </c>
      <c r="BP107" s="152">
        <f>BS106</f>
        <v/>
      </c>
      <c r="BQ107" s="159">
        <f>IF(BP107&gt;0.005,BP107*Debts!D24/12,0)</f>
        <v/>
      </c>
      <c r="BR107" s="159" t="n">
        <v>0</v>
      </c>
      <c r="BS107" s="152">
        <f>MAX(0,BP107+BQ107-BR107)</f>
        <v/>
      </c>
      <c r="BT107" s="152">
        <f>BW106</f>
        <v/>
      </c>
      <c r="BU107" s="159">
        <f>IF(BT107&gt;0.005,BT107*Debts!D25/12,0)</f>
        <v/>
      </c>
      <c r="BV107" s="159" t="n">
        <v>0</v>
      </c>
      <c r="BW107" s="152">
        <f>MAX(0,BT107+BU107-BV107)</f>
        <v/>
      </c>
      <c r="BX107" s="152">
        <f>CA106</f>
        <v/>
      </c>
      <c r="BY107" s="159">
        <f>IF(BX107&gt;0.005,BX107*Debts!D26/12,0)</f>
        <v/>
      </c>
      <c r="BZ107" s="159" t="n">
        <v>0</v>
      </c>
      <c r="CA107" s="152">
        <f>MAX(0,BX107+BY107-BZ107)</f>
        <v/>
      </c>
      <c r="CB107" s="152">
        <f>CE106</f>
        <v/>
      </c>
      <c r="CC107" s="159">
        <f>IF(CB107&gt;0.005,CB107*Debts!D27/12,0)</f>
        <v/>
      </c>
      <c r="CD107" s="159" t="n">
        <v>0</v>
      </c>
      <c r="CE107" s="152">
        <f>MAX(0,CB107+CC107-CD107)</f>
        <v/>
      </c>
      <c r="CF107" s="152">
        <f>G107+K107+O107+S107+W107+AA107+AE107+AI107+AM107+AQ107+AU107+AY107+BC107+BG107+BK107+BO107+BS107+BW107+CA107+CE107</f>
        <v/>
      </c>
      <c r="CG107" s="159">
        <f>E107+I107+M107+Q107+U107+Y107+AC107+AG107+AK107+AO107+AS107+AW107+BA107+BE107+BI107+BM107+BQ107+BU107+BY107+CC107</f>
        <v/>
      </c>
      <c r="CH107" s="152">
        <f>CH106+CG107</f>
        <v/>
      </c>
      <c r="CI107" s="148" t="n"/>
      <c r="CJ107" s="148" t="n"/>
    </row>
    <row r="108" ht="15" customHeight="1" s="83">
      <c r="A108" s="148" t="n"/>
      <c r="B108" s="158" t="n">
        <v>104</v>
      </c>
      <c r="C108" s="152">
        <f>F108+J108+N108+R108+V108+Z108+AD108+AH108+AL108+AP108+AT108+AX108+BB108+BF108+BJ108+BN108+BR108+BV108+BZ108+CD108</f>
        <v/>
      </c>
      <c r="D108" s="152">
        <f>G107</f>
        <v/>
      </c>
      <c r="E108" s="159">
        <f>IF(D108&gt;0.005,D108*Debts!D8/12,0)</f>
        <v/>
      </c>
      <c r="F108" s="159" t="n">
        <v>0</v>
      </c>
      <c r="G108" s="152">
        <f>MAX(0,D108+E108-F108)</f>
        <v/>
      </c>
      <c r="H108" s="152">
        <f>K107</f>
        <v/>
      </c>
      <c r="I108" s="159">
        <f>IF(H108&gt;0.005,H108*Debts!D9/12,0)</f>
        <v/>
      </c>
      <c r="J108" s="159" t="n">
        <v>0</v>
      </c>
      <c r="K108" s="152">
        <f>MAX(0,H108+I108-J108)</f>
        <v/>
      </c>
      <c r="L108" s="152">
        <f>O107</f>
        <v/>
      </c>
      <c r="M108" s="159">
        <f>IF(L108&gt;0.005,L108*Debts!D10/12,0)</f>
        <v/>
      </c>
      <c r="N108" s="159" t="n">
        <v>0</v>
      </c>
      <c r="O108" s="152">
        <f>MAX(0,L108+M108-N108)</f>
        <v/>
      </c>
      <c r="P108" s="152">
        <f>S107</f>
        <v/>
      </c>
      <c r="Q108" s="159">
        <f>IF(P108&gt;0.005,P108*Debts!D11/12,0)</f>
        <v/>
      </c>
      <c r="R108" s="159" t="n">
        <v>0</v>
      </c>
      <c r="S108" s="152">
        <f>MAX(0,P108+Q108-R108)</f>
        <v/>
      </c>
      <c r="T108" s="152">
        <f>W107</f>
        <v/>
      </c>
      <c r="U108" s="159">
        <f>IF(T108&gt;0.005,T108*Debts!D12/12,0)</f>
        <v/>
      </c>
      <c r="V108" s="159" t="n">
        <v>0</v>
      </c>
      <c r="W108" s="152">
        <f>MAX(0,T108+U108-V108)</f>
        <v/>
      </c>
      <c r="X108" s="152">
        <f>AA107</f>
        <v/>
      </c>
      <c r="Y108" s="159">
        <f>IF(X108&gt;0.005,X108*Debts!D13/12,0)</f>
        <v/>
      </c>
      <c r="Z108" s="159" t="n">
        <v>0</v>
      </c>
      <c r="AA108" s="152">
        <f>MAX(0,X108+Y108-Z108)</f>
        <v/>
      </c>
      <c r="AB108" s="152">
        <f>AE107</f>
        <v/>
      </c>
      <c r="AC108" s="159">
        <f>IF(AB108&gt;0.005,AB108*Debts!D14/12,0)</f>
        <v/>
      </c>
      <c r="AD108" s="159" t="n">
        <v>0</v>
      </c>
      <c r="AE108" s="152">
        <f>MAX(0,AB108+AC108-AD108)</f>
        <v/>
      </c>
      <c r="AF108" s="152">
        <f>AI107</f>
        <v/>
      </c>
      <c r="AG108" s="159">
        <f>IF(AF108&gt;0.005,AF108*Debts!D15/12,0)</f>
        <v/>
      </c>
      <c r="AH108" s="159" t="n">
        <v>0</v>
      </c>
      <c r="AI108" s="152">
        <f>MAX(0,AF108+AG108-AH108)</f>
        <v/>
      </c>
      <c r="AJ108" s="152">
        <f>AM107</f>
        <v/>
      </c>
      <c r="AK108" s="159">
        <f>IF(AJ108&gt;0.005,AJ108*Debts!D16/12,0)</f>
        <v/>
      </c>
      <c r="AL108" s="159" t="n">
        <v>0</v>
      </c>
      <c r="AM108" s="152">
        <f>MAX(0,AJ108+AK108-AL108)</f>
        <v/>
      </c>
      <c r="AN108" s="152">
        <f>AQ107</f>
        <v/>
      </c>
      <c r="AO108" s="159">
        <f>IF(AN108&gt;0.005,AN108*Debts!D17/12,0)</f>
        <v/>
      </c>
      <c r="AP108" s="159" t="n">
        <v>0</v>
      </c>
      <c r="AQ108" s="152">
        <f>MAX(0,AN108+AO108-AP108)</f>
        <v/>
      </c>
      <c r="AR108" s="152">
        <f>AU107</f>
        <v/>
      </c>
      <c r="AS108" s="159">
        <f>IF(AR108&gt;0.005,AR108*Debts!D18/12,0)</f>
        <v/>
      </c>
      <c r="AT108" s="159" t="n">
        <v>0</v>
      </c>
      <c r="AU108" s="152">
        <f>MAX(0,AR108+AS108-AT108)</f>
        <v/>
      </c>
      <c r="AV108" s="152">
        <f>AY107</f>
        <v/>
      </c>
      <c r="AW108" s="159">
        <f>IF(AV108&gt;0.005,AV108*Debts!D19/12,0)</f>
        <v/>
      </c>
      <c r="AX108" s="159" t="n">
        <v>0</v>
      </c>
      <c r="AY108" s="152">
        <f>MAX(0,AV108+AW108-AX108)</f>
        <v/>
      </c>
      <c r="AZ108" s="152">
        <f>BC107</f>
        <v/>
      </c>
      <c r="BA108" s="159">
        <f>IF(AZ108&gt;0.005,AZ108*Debts!D20/12,0)</f>
        <v/>
      </c>
      <c r="BB108" s="159" t="n">
        <v>0</v>
      </c>
      <c r="BC108" s="152">
        <f>MAX(0,AZ108+BA108-BB108)</f>
        <v/>
      </c>
      <c r="BD108" s="152">
        <f>BG107</f>
        <v/>
      </c>
      <c r="BE108" s="159">
        <f>IF(BD108&gt;0.005,BD108*Debts!D21/12,0)</f>
        <v/>
      </c>
      <c r="BF108" s="159" t="n">
        <v>0</v>
      </c>
      <c r="BG108" s="152">
        <f>MAX(0,BD108+BE108-BF108)</f>
        <v/>
      </c>
      <c r="BH108" s="152">
        <f>BK107</f>
        <v/>
      </c>
      <c r="BI108" s="159">
        <f>IF(BH108&gt;0.005,BH108*Debts!D22/12,0)</f>
        <v/>
      </c>
      <c r="BJ108" s="159" t="n">
        <v>0</v>
      </c>
      <c r="BK108" s="152">
        <f>MAX(0,BH108+BI108-BJ108)</f>
        <v/>
      </c>
      <c r="BL108" s="152">
        <f>BO107</f>
        <v/>
      </c>
      <c r="BM108" s="159">
        <f>IF(BL108&gt;0.005,BL108*Debts!D23/12,0)</f>
        <v/>
      </c>
      <c r="BN108" s="159" t="n">
        <v>0</v>
      </c>
      <c r="BO108" s="152">
        <f>MAX(0,BL108+BM108-BN108)</f>
        <v/>
      </c>
      <c r="BP108" s="152">
        <f>BS107</f>
        <v/>
      </c>
      <c r="BQ108" s="159">
        <f>IF(BP108&gt;0.005,BP108*Debts!D24/12,0)</f>
        <v/>
      </c>
      <c r="BR108" s="159" t="n">
        <v>0</v>
      </c>
      <c r="BS108" s="152">
        <f>MAX(0,BP108+BQ108-BR108)</f>
        <v/>
      </c>
      <c r="BT108" s="152">
        <f>BW107</f>
        <v/>
      </c>
      <c r="BU108" s="159">
        <f>IF(BT108&gt;0.005,BT108*Debts!D25/12,0)</f>
        <v/>
      </c>
      <c r="BV108" s="159" t="n">
        <v>0</v>
      </c>
      <c r="BW108" s="152">
        <f>MAX(0,BT108+BU108-BV108)</f>
        <v/>
      </c>
      <c r="BX108" s="152">
        <f>CA107</f>
        <v/>
      </c>
      <c r="BY108" s="159">
        <f>IF(BX108&gt;0.005,BX108*Debts!D26/12,0)</f>
        <v/>
      </c>
      <c r="BZ108" s="159" t="n">
        <v>0</v>
      </c>
      <c r="CA108" s="152">
        <f>MAX(0,BX108+BY108-BZ108)</f>
        <v/>
      </c>
      <c r="CB108" s="152">
        <f>CE107</f>
        <v/>
      </c>
      <c r="CC108" s="159">
        <f>IF(CB108&gt;0.005,CB108*Debts!D27/12,0)</f>
        <v/>
      </c>
      <c r="CD108" s="159" t="n">
        <v>0</v>
      </c>
      <c r="CE108" s="152">
        <f>MAX(0,CB108+CC108-CD108)</f>
        <v/>
      </c>
      <c r="CF108" s="152">
        <f>G108+K108+O108+S108+W108+AA108+AE108+AI108+AM108+AQ108+AU108+AY108+BC108+BG108+BK108+BO108+BS108+BW108+CA108+CE108</f>
        <v/>
      </c>
      <c r="CG108" s="159">
        <f>E108+I108+M108+Q108+U108+Y108+AC108+AG108+AK108+AO108+AS108+AW108+BA108+BE108+BI108+BM108+BQ108+BU108+BY108+CC108</f>
        <v/>
      </c>
      <c r="CH108" s="152">
        <f>CH107+CG108</f>
        <v/>
      </c>
      <c r="CI108" s="148" t="n"/>
      <c r="CJ108" s="148" t="n"/>
    </row>
    <row r="109" ht="15" customHeight="1" s="83">
      <c r="A109" s="148" t="n"/>
      <c r="B109" s="158" t="n">
        <v>105</v>
      </c>
      <c r="C109" s="152">
        <f>F109+J109+N109+R109+V109+Z109+AD109+AH109+AL109+AP109+AT109+AX109+BB109+BF109+BJ109+BN109+BR109+BV109+BZ109+CD109</f>
        <v/>
      </c>
      <c r="D109" s="152">
        <f>G108</f>
        <v/>
      </c>
      <c r="E109" s="159">
        <f>IF(D109&gt;0.005,D109*Debts!D8/12,0)</f>
        <v/>
      </c>
      <c r="F109" s="159" t="n">
        <v>0</v>
      </c>
      <c r="G109" s="152">
        <f>MAX(0,D109+E109-F109)</f>
        <v/>
      </c>
      <c r="H109" s="152">
        <f>K108</f>
        <v/>
      </c>
      <c r="I109" s="159">
        <f>IF(H109&gt;0.005,H109*Debts!D9/12,0)</f>
        <v/>
      </c>
      <c r="J109" s="159" t="n">
        <v>0</v>
      </c>
      <c r="K109" s="152">
        <f>MAX(0,H109+I109-J109)</f>
        <v/>
      </c>
      <c r="L109" s="152">
        <f>O108</f>
        <v/>
      </c>
      <c r="M109" s="159">
        <f>IF(L109&gt;0.005,L109*Debts!D10/12,0)</f>
        <v/>
      </c>
      <c r="N109" s="159" t="n">
        <v>0</v>
      </c>
      <c r="O109" s="152">
        <f>MAX(0,L109+M109-N109)</f>
        <v/>
      </c>
      <c r="P109" s="152">
        <f>S108</f>
        <v/>
      </c>
      <c r="Q109" s="159">
        <f>IF(P109&gt;0.005,P109*Debts!D11/12,0)</f>
        <v/>
      </c>
      <c r="R109" s="159" t="n">
        <v>0</v>
      </c>
      <c r="S109" s="152">
        <f>MAX(0,P109+Q109-R109)</f>
        <v/>
      </c>
      <c r="T109" s="152">
        <f>W108</f>
        <v/>
      </c>
      <c r="U109" s="159">
        <f>IF(T109&gt;0.005,T109*Debts!D12/12,0)</f>
        <v/>
      </c>
      <c r="V109" s="159" t="n">
        <v>0</v>
      </c>
      <c r="W109" s="152">
        <f>MAX(0,T109+U109-V109)</f>
        <v/>
      </c>
      <c r="X109" s="152">
        <f>AA108</f>
        <v/>
      </c>
      <c r="Y109" s="159">
        <f>IF(X109&gt;0.005,X109*Debts!D13/12,0)</f>
        <v/>
      </c>
      <c r="Z109" s="159" t="n">
        <v>0</v>
      </c>
      <c r="AA109" s="152">
        <f>MAX(0,X109+Y109-Z109)</f>
        <v/>
      </c>
      <c r="AB109" s="152">
        <f>AE108</f>
        <v/>
      </c>
      <c r="AC109" s="159">
        <f>IF(AB109&gt;0.005,AB109*Debts!D14/12,0)</f>
        <v/>
      </c>
      <c r="AD109" s="159" t="n">
        <v>0</v>
      </c>
      <c r="AE109" s="152">
        <f>MAX(0,AB109+AC109-AD109)</f>
        <v/>
      </c>
      <c r="AF109" s="152">
        <f>AI108</f>
        <v/>
      </c>
      <c r="AG109" s="159">
        <f>IF(AF109&gt;0.005,AF109*Debts!D15/12,0)</f>
        <v/>
      </c>
      <c r="AH109" s="159" t="n">
        <v>0</v>
      </c>
      <c r="AI109" s="152">
        <f>MAX(0,AF109+AG109-AH109)</f>
        <v/>
      </c>
      <c r="AJ109" s="152">
        <f>AM108</f>
        <v/>
      </c>
      <c r="AK109" s="159">
        <f>IF(AJ109&gt;0.005,AJ109*Debts!D16/12,0)</f>
        <v/>
      </c>
      <c r="AL109" s="159" t="n">
        <v>0</v>
      </c>
      <c r="AM109" s="152">
        <f>MAX(0,AJ109+AK109-AL109)</f>
        <v/>
      </c>
      <c r="AN109" s="152">
        <f>AQ108</f>
        <v/>
      </c>
      <c r="AO109" s="159">
        <f>IF(AN109&gt;0.005,AN109*Debts!D17/12,0)</f>
        <v/>
      </c>
      <c r="AP109" s="159" t="n">
        <v>0</v>
      </c>
      <c r="AQ109" s="152">
        <f>MAX(0,AN109+AO109-AP109)</f>
        <v/>
      </c>
      <c r="AR109" s="152">
        <f>AU108</f>
        <v/>
      </c>
      <c r="AS109" s="159">
        <f>IF(AR109&gt;0.005,AR109*Debts!D18/12,0)</f>
        <v/>
      </c>
      <c r="AT109" s="159" t="n">
        <v>0</v>
      </c>
      <c r="AU109" s="152">
        <f>MAX(0,AR109+AS109-AT109)</f>
        <v/>
      </c>
      <c r="AV109" s="152">
        <f>AY108</f>
        <v/>
      </c>
      <c r="AW109" s="159">
        <f>IF(AV109&gt;0.005,AV109*Debts!D19/12,0)</f>
        <v/>
      </c>
      <c r="AX109" s="159" t="n">
        <v>0</v>
      </c>
      <c r="AY109" s="152">
        <f>MAX(0,AV109+AW109-AX109)</f>
        <v/>
      </c>
      <c r="AZ109" s="152">
        <f>BC108</f>
        <v/>
      </c>
      <c r="BA109" s="159">
        <f>IF(AZ109&gt;0.005,AZ109*Debts!D20/12,0)</f>
        <v/>
      </c>
      <c r="BB109" s="159" t="n">
        <v>0</v>
      </c>
      <c r="BC109" s="152">
        <f>MAX(0,AZ109+BA109-BB109)</f>
        <v/>
      </c>
      <c r="BD109" s="152">
        <f>BG108</f>
        <v/>
      </c>
      <c r="BE109" s="159">
        <f>IF(BD109&gt;0.005,BD109*Debts!D21/12,0)</f>
        <v/>
      </c>
      <c r="BF109" s="159" t="n">
        <v>0</v>
      </c>
      <c r="BG109" s="152">
        <f>MAX(0,BD109+BE109-BF109)</f>
        <v/>
      </c>
      <c r="BH109" s="152">
        <f>BK108</f>
        <v/>
      </c>
      <c r="BI109" s="159">
        <f>IF(BH109&gt;0.005,BH109*Debts!D22/12,0)</f>
        <v/>
      </c>
      <c r="BJ109" s="159" t="n">
        <v>0</v>
      </c>
      <c r="BK109" s="152">
        <f>MAX(0,BH109+BI109-BJ109)</f>
        <v/>
      </c>
      <c r="BL109" s="152">
        <f>BO108</f>
        <v/>
      </c>
      <c r="BM109" s="159">
        <f>IF(BL109&gt;0.005,BL109*Debts!D23/12,0)</f>
        <v/>
      </c>
      <c r="BN109" s="159" t="n">
        <v>0</v>
      </c>
      <c r="BO109" s="152">
        <f>MAX(0,BL109+BM109-BN109)</f>
        <v/>
      </c>
      <c r="BP109" s="152">
        <f>BS108</f>
        <v/>
      </c>
      <c r="BQ109" s="159">
        <f>IF(BP109&gt;0.005,BP109*Debts!D24/12,0)</f>
        <v/>
      </c>
      <c r="BR109" s="159" t="n">
        <v>0</v>
      </c>
      <c r="BS109" s="152">
        <f>MAX(0,BP109+BQ109-BR109)</f>
        <v/>
      </c>
      <c r="BT109" s="152">
        <f>BW108</f>
        <v/>
      </c>
      <c r="BU109" s="159">
        <f>IF(BT109&gt;0.005,BT109*Debts!D25/12,0)</f>
        <v/>
      </c>
      <c r="BV109" s="159" t="n">
        <v>0</v>
      </c>
      <c r="BW109" s="152">
        <f>MAX(0,BT109+BU109-BV109)</f>
        <v/>
      </c>
      <c r="BX109" s="152">
        <f>CA108</f>
        <v/>
      </c>
      <c r="BY109" s="159">
        <f>IF(BX109&gt;0.005,BX109*Debts!D26/12,0)</f>
        <v/>
      </c>
      <c r="BZ109" s="159" t="n">
        <v>0</v>
      </c>
      <c r="CA109" s="152">
        <f>MAX(0,BX109+BY109-BZ109)</f>
        <v/>
      </c>
      <c r="CB109" s="152">
        <f>CE108</f>
        <v/>
      </c>
      <c r="CC109" s="159">
        <f>IF(CB109&gt;0.005,CB109*Debts!D27/12,0)</f>
        <v/>
      </c>
      <c r="CD109" s="159" t="n">
        <v>0</v>
      </c>
      <c r="CE109" s="152">
        <f>MAX(0,CB109+CC109-CD109)</f>
        <v/>
      </c>
      <c r="CF109" s="152">
        <f>G109+K109+O109+S109+W109+AA109+AE109+AI109+AM109+AQ109+AU109+AY109+BC109+BG109+BK109+BO109+BS109+BW109+CA109+CE109</f>
        <v/>
      </c>
      <c r="CG109" s="159">
        <f>E109+I109+M109+Q109+U109+Y109+AC109+AG109+AK109+AO109+AS109+AW109+BA109+BE109+BI109+BM109+BQ109+BU109+BY109+CC109</f>
        <v/>
      </c>
      <c r="CH109" s="152">
        <f>CH108+CG109</f>
        <v/>
      </c>
      <c r="CI109" s="148" t="n"/>
      <c r="CJ109" s="148" t="n"/>
    </row>
    <row r="110" ht="15" customHeight="1" s="83">
      <c r="A110" s="148" t="n"/>
      <c r="B110" s="158" t="n">
        <v>106</v>
      </c>
      <c r="C110" s="152">
        <f>F110+J110+N110+R110+V110+Z110+AD110+AH110+AL110+AP110+AT110+AX110+BB110+BF110+BJ110+BN110+BR110+BV110+BZ110+CD110</f>
        <v/>
      </c>
      <c r="D110" s="152">
        <f>G109</f>
        <v/>
      </c>
      <c r="E110" s="159">
        <f>IF(D110&gt;0.005,D110*Debts!D8/12,0)</f>
        <v/>
      </c>
      <c r="F110" s="159" t="n">
        <v>0</v>
      </c>
      <c r="G110" s="152">
        <f>MAX(0,D110+E110-F110)</f>
        <v/>
      </c>
      <c r="H110" s="152">
        <f>K109</f>
        <v/>
      </c>
      <c r="I110" s="159">
        <f>IF(H110&gt;0.005,H110*Debts!D9/12,0)</f>
        <v/>
      </c>
      <c r="J110" s="159" t="n">
        <v>0</v>
      </c>
      <c r="K110" s="152">
        <f>MAX(0,H110+I110-J110)</f>
        <v/>
      </c>
      <c r="L110" s="152">
        <f>O109</f>
        <v/>
      </c>
      <c r="M110" s="159">
        <f>IF(L110&gt;0.005,L110*Debts!D10/12,0)</f>
        <v/>
      </c>
      <c r="N110" s="159" t="n">
        <v>0</v>
      </c>
      <c r="O110" s="152">
        <f>MAX(0,L110+M110-N110)</f>
        <v/>
      </c>
      <c r="P110" s="152">
        <f>S109</f>
        <v/>
      </c>
      <c r="Q110" s="159">
        <f>IF(P110&gt;0.005,P110*Debts!D11/12,0)</f>
        <v/>
      </c>
      <c r="R110" s="159" t="n">
        <v>0</v>
      </c>
      <c r="S110" s="152">
        <f>MAX(0,P110+Q110-R110)</f>
        <v/>
      </c>
      <c r="T110" s="152">
        <f>W109</f>
        <v/>
      </c>
      <c r="U110" s="159">
        <f>IF(T110&gt;0.005,T110*Debts!D12/12,0)</f>
        <v/>
      </c>
      <c r="V110" s="159" t="n">
        <v>0</v>
      </c>
      <c r="W110" s="152">
        <f>MAX(0,T110+U110-V110)</f>
        <v/>
      </c>
      <c r="X110" s="152">
        <f>AA109</f>
        <v/>
      </c>
      <c r="Y110" s="159">
        <f>IF(X110&gt;0.005,X110*Debts!D13/12,0)</f>
        <v/>
      </c>
      <c r="Z110" s="159" t="n">
        <v>0</v>
      </c>
      <c r="AA110" s="152">
        <f>MAX(0,X110+Y110-Z110)</f>
        <v/>
      </c>
      <c r="AB110" s="152">
        <f>AE109</f>
        <v/>
      </c>
      <c r="AC110" s="159">
        <f>IF(AB110&gt;0.005,AB110*Debts!D14/12,0)</f>
        <v/>
      </c>
      <c r="AD110" s="159" t="n">
        <v>0</v>
      </c>
      <c r="AE110" s="152">
        <f>MAX(0,AB110+AC110-AD110)</f>
        <v/>
      </c>
      <c r="AF110" s="152">
        <f>AI109</f>
        <v/>
      </c>
      <c r="AG110" s="159">
        <f>IF(AF110&gt;0.005,AF110*Debts!D15/12,0)</f>
        <v/>
      </c>
      <c r="AH110" s="159" t="n">
        <v>0</v>
      </c>
      <c r="AI110" s="152">
        <f>MAX(0,AF110+AG110-AH110)</f>
        <v/>
      </c>
      <c r="AJ110" s="152">
        <f>AM109</f>
        <v/>
      </c>
      <c r="AK110" s="159">
        <f>IF(AJ110&gt;0.005,AJ110*Debts!D16/12,0)</f>
        <v/>
      </c>
      <c r="AL110" s="159" t="n">
        <v>0</v>
      </c>
      <c r="AM110" s="152">
        <f>MAX(0,AJ110+AK110-AL110)</f>
        <v/>
      </c>
      <c r="AN110" s="152">
        <f>AQ109</f>
        <v/>
      </c>
      <c r="AO110" s="159">
        <f>IF(AN110&gt;0.005,AN110*Debts!D17/12,0)</f>
        <v/>
      </c>
      <c r="AP110" s="159" t="n">
        <v>0</v>
      </c>
      <c r="AQ110" s="152">
        <f>MAX(0,AN110+AO110-AP110)</f>
        <v/>
      </c>
      <c r="AR110" s="152">
        <f>AU109</f>
        <v/>
      </c>
      <c r="AS110" s="159">
        <f>IF(AR110&gt;0.005,AR110*Debts!D18/12,0)</f>
        <v/>
      </c>
      <c r="AT110" s="159" t="n">
        <v>0</v>
      </c>
      <c r="AU110" s="152">
        <f>MAX(0,AR110+AS110-AT110)</f>
        <v/>
      </c>
      <c r="AV110" s="152">
        <f>AY109</f>
        <v/>
      </c>
      <c r="AW110" s="159">
        <f>IF(AV110&gt;0.005,AV110*Debts!D19/12,0)</f>
        <v/>
      </c>
      <c r="AX110" s="159" t="n">
        <v>0</v>
      </c>
      <c r="AY110" s="152">
        <f>MAX(0,AV110+AW110-AX110)</f>
        <v/>
      </c>
      <c r="AZ110" s="152">
        <f>BC109</f>
        <v/>
      </c>
      <c r="BA110" s="159">
        <f>IF(AZ110&gt;0.005,AZ110*Debts!D20/12,0)</f>
        <v/>
      </c>
      <c r="BB110" s="159" t="n">
        <v>0</v>
      </c>
      <c r="BC110" s="152">
        <f>MAX(0,AZ110+BA110-BB110)</f>
        <v/>
      </c>
      <c r="BD110" s="152">
        <f>BG109</f>
        <v/>
      </c>
      <c r="BE110" s="159">
        <f>IF(BD110&gt;0.005,BD110*Debts!D21/12,0)</f>
        <v/>
      </c>
      <c r="BF110" s="159" t="n">
        <v>0</v>
      </c>
      <c r="BG110" s="152">
        <f>MAX(0,BD110+BE110-BF110)</f>
        <v/>
      </c>
      <c r="BH110" s="152">
        <f>BK109</f>
        <v/>
      </c>
      <c r="BI110" s="159">
        <f>IF(BH110&gt;0.005,BH110*Debts!D22/12,0)</f>
        <v/>
      </c>
      <c r="BJ110" s="159" t="n">
        <v>0</v>
      </c>
      <c r="BK110" s="152">
        <f>MAX(0,BH110+BI110-BJ110)</f>
        <v/>
      </c>
      <c r="BL110" s="152">
        <f>BO109</f>
        <v/>
      </c>
      <c r="BM110" s="159">
        <f>IF(BL110&gt;0.005,BL110*Debts!D23/12,0)</f>
        <v/>
      </c>
      <c r="BN110" s="159" t="n">
        <v>0</v>
      </c>
      <c r="BO110" s="152">
        <f>MAX(0,BL110+BM110-BN110)</f>
        <v/>
      </c>
      <c r="BP110" s="152">
        <f>BS109</f>
        <v/>
      </c>
      <c r="BQ110" s="159">
        <f>IF(BP110&gt;0.005,BP110*Debts!D24/12,0)</f>
        <v/>
      </c>
      <c r="BR110" s="159" t="n">
        <v>0</v>
      </c>
      <c r="BS110" s="152">
        <f>MAX(0,BP110+BQ110-BR110)</f>
        <v/>
      </c>
      <c r="BT110" s="152">
        <f>BW109</f>
        <v/>
      </c>
      <c r="BU110" s="159">
        <f>IF(BT110&gt;0.005,BT110*Debts!D25/12,0)</f>
        <v/>
      </c>
      <c r="BV110" s="159" t="n">
        <v>0</v>
      </c>
      <c r="BW110" s="152">
        <f>MAX(0,BT110+BU110-BV110)</f>
        <v/>
      </c>
      <c r="BX110" s="152">
        <f>CA109</f>
        <v/>
      </c>
      <c r="BY110" s="159">
        <f>IF(BX110&gt;0.005,BX110*Debts!D26/12,0)</f>
        <v/>
      </c>
      <c r="BZ110" s="159" t="n">
        <v>0</v>
      </c>
      <c r="CA110" s="152">
        <f>MAX(0,BX110+BY110-BZ110)</f>
        <v/>
      </c>
      <c r="CB110" s="152">
        <f>CE109</f>
        <v/>
      </c>
      <c r="CC110" s="159">
        <f>IF(CB110&gt;0.005,CB110*Debts!D27/12,0)</f>
        <v/>
      </c>
      <c r="CD110" s="159" t="n">
        <v>0</v>
      </c>
      <c r="CE110" s="152">
        <f>MAX(0,CB110+CC110-CD110)</f>
        <v/>
      </c>
      <c r="CF110" s="152">
        <f>G110+K110+O110+S110+W110+AA110+AE110+AI110+AM110+AQ110+AU110+AY110+BC110+BG110+BK110+BO110+BS110+BW110+CA110+CE110</f>
        <v/>
      </c>
      <c r="CG110" s="159">
        <f>E110+I110+M110+Q110+U110+Y110+AC110+AG110+AK110+AO110+AS110+AW110+BA110+BE110+BI110+BM110+BQ110+BU110+BY110+CC110</f>
        <v/>
      </c>
      <c r="CH110" s="152">
        <f>CH109+CG110</f>
        <v/>
      </c>
      <c r="CI110" s="148" t="n"/>
      <c r="CJ110" s="148" t="n"/>
    </row>
    <row r="111" ht="15" customHeight="1" s="83">
      <c r="A111" s="148" t="n"/>
      <c r="B111" s="158" t="n">
        <v>107</v>
      </c>
      <c r="C111" s="152">
        <f>F111+J111+N111+R111+V111+Z111+AD111+AH111+AL111+AP111+AT111+AX111+BB111+BF111+BJ111+BN111+BR111+BV111+BZ111+CD111</f>
        <v/>
      </c>
      <c r="D111" s="152">
        <f>G110</f>
        <v/>
      </c>
      <c r="E111" s="159">
        <f>IF(D111&gt;0.005,D111*Debts!D8/12,0)</f>
        <v/>
      </c>
      <c r="F111" s="159" t="n">
        <v>0</v>
      </c>
      <c r="G111" s="152">
        <f>MAX(0,D111+E111-F111)</f>
        <v/>
      </c>
      <c r="H111" s="152">
        <f>K110</f>
        <v/>
      </c>
      <c r="I111" s="159">
        <f>IF(H111&gt;0.005,H111*Debts!D9/12,0)</f>
        <v/>
      </c>
      <c r="J111" s="159" t="n">
        <v>0</v>
      </c>
      <c r="K111" s="152">
        <f>MAX(0,H111+I111-J111)</f>
        <v/>
      </c>
      <c r="L111" s="152">
        <f>O110</f>
        <v/>
      </c>
      <c r="M111" s="159">
        <f>IF(L111&gt;0.005,L111*Debts!D10/12,0)</f>
        <v/>
      </c>
      <c r="N111" s="159" t="n">
        <v>0</v>
      </c>
      <c r="O111" s="152">
        <f>MAX(0,L111+M111-N111)</f>
        <v/>
      </c>
      <c r="P111" s="152">
        <f>S110</f>
        <v/>
      </c>
      <c r="Q111" s="159">
        <f>IF(P111&gt;0.005,P111*Debts!D11/12,0)</f>
        <v/>
      </c>
      <c r="R111" s="159" t="n">
        <v>0</v>
      </c>
      <c r="S111" s="152">
        <f>MAX(0,P111+Q111-R111)</f>
        <v/>
      </c>
      <c r="T111" s="152">
        <f>W110</f>
        <v/>
      </c>
      <c r="U111" s="159">
        <f>IF(T111&gt;0.005,T111*Debts!D12/12,0)</f>
        <v/>
      </c>
      <c r="V111" s="159" t="n">
        <v>0</v>
      </c>
      <c r="W111" s="152">
        <f>MAX(0,T111+U111-V111)</f>
        <v/>
      </c>
      <c r="X111" s="152">
        <f>AA110</f>
        <v/>
      </c>
      <c r="Y111" s="159">
        <f>IF(X111&gt;0.005,X111*Debts!D13/12,0)</f>
        <v/>
      </c>
      <c r="Z111" s="159" t="n">
        <v>0</v>
      </c>
      <c r="AA111" s="152">
        <f>MAX(0,X111+Y111-Z111)</f>
        <v/>
      </c>
      <c r="AB111" s="152">
        <f>AE110</f>
        <v/>
      </c>
      <c r="AC111" s="159">
        <f>IF(AB111&gt;0.005,AB111*Debts!D14/12,0)</f>
        <v/>
      </c>
      <c r="AD111" s="159" t="n">
        <v>0</v>
      </c>
      <c r="AE111" s="152">
        <f>MAX(0,AB111+AC111-AD111)</f>
        <v/>
      </c>
      <c r="AF111" s="152">
        <f>AI110</f>
        <v/>
      </c>
      <c r="AG111" s="159">
        <f>IF(AF111&gt;0.005,AF111*Debts!D15/12,0)</f>
        <v/>
      </c>
      <c r="AH111" s="159" t="n">
        <v>0</v>
      </c>
      <c r="AI111" s="152">
        <f>MAX(0,AF111+AG111-AH111)</f>
        <v/>
      </c>
      <c r="AJ111" s="152">
        <f>AM110</f>
        <v/>
      </c>
      <c r="AK111" s="159">
        <f>IF(AJ111&gt;0.005,AJ111*Debts!D16/12,0)</f>
        <v/>
      </c>
      <c r="AL111" s="159" t="n">
        <v>0</v>
      </c>
      <c r="AM111" s="152">
        <f>MAX(0,AJ111+AK111-AL111)</f>
        <v/>
      </c>
      <c r="AN111" s="152">
        <f>AQ110</f>
        <v/>
      </c>
      <c r="AO111" s="159">
        <f>IF(AN111&gt;0.005,AN111*Debts!D17/12,0)</f>
        <v/>
      </c>
      <c r="AP111" s="159" t="n">
        <v>0</v>
      </c>
      <c r="AQ111" s="152">
        <f>MAX(0,AN111+AO111-AP111)</f>
        <v/>
      </c>
      <c r="AR111" s="152">
        <f>AU110</f>
        <v/>
      </c>
      <c r="AS111" s="159">
        <f>IF(AR111&gt;0.005,AR111*Debts!D18/12,0)</f>
        <v/>
      </c>
      <c r="AT111" s="159" t="n">
        <v>0</v>
      </c>
      <c r="AU111" s="152">
        <f>MAX(0,AR111+AS111-AT111)</f>
        <v/>
      </c>
      <c r="AV111" s="152">
        <f>AY110</f>
        <v/>
      </c>
      <c r="AW111" s="159">
        <f>IF(AV111&gt;0.005,AV111*Debts!D19/12,0)</f>
        <v/>
      </c>
      <c r="AX111" s="159" t="n">
        <v>0</v>
      </c>
      <c r="AY111" s="152">
        <f>MAX(0,AV111+AW111-AX111)</f>
        <v/>
      </c>
      <c r="AZ111" s="152">
        <f>BC110</f>
        <v/>
      </c>
      <c r="BA111" s="159">
        <f>IF(AZ111&gt;0.005,AZ111*Debts!D20/12,0)</f>
        <v/>
      </c>
      <c r="BB111" s="159" t="n">
        <v>0</v>
      </c>
      <c r="BC111" s="152">
        <f>MAX(0,AZ111+BA111-BB111)</f>
        <v/>
      </c>
      <c r="BD111" s="152">
        <f>BG110</f>
        <v/>
      </c>
      <c r="BE111" s="159">
        <f>IF(BD111&gt;0.005,BD111*Debts!D21/12,0)</f>
        <v/>
      </c>
      <c r="BF111" s="159" t="n">
        <v>0</v>
      </c>
      <c r="BG111" s="152">
        <f>MAX(0,BD111+BE111-BF111)</f>
        <v/>
      </c>
      <c r="BH111" s="152">
        <f>BK110</f>
        <v/>
      </c>
      <c r="BI111" s="159">
        <f>IF(BH111&gt;0.005,BH111*Debts!D22/12,0)</f>
        <v/>
      </c>
      <c r="BJ111" s="159" t="n">
        <v>0</v>
      </c>
      <c r="BK111" s="152">
        <f>MAX(0,BH111+BI111-BJ111)</f>
        <v/>
      </c>
      <c r="BL111" s="152">
        <f>BO110</f>
        <v/>
      </c>
      <c r="BM111" s="159">
        <f>IF(BL111&gt;0.005,BL111*Debts!D23/12,0)</f>
        <v/>
      </c>
      <c r="BN111" s="159" t="n">
        <v>0</v>
      </c>
      <c r="BO111" s="152">
        <f>MAX(0,BL111+BM111-BN111)</f>
        <v/>
      </c>
      <c r="BP111" s="152">
        <f>BS110</f>
        <v/>
      </c>
      <c r="BQ111" s="159">
        <f>IF(BP111&gt;0.005,BP111*Debts!D24/12,0)</f>
        <v/>
      </c>
      <c r="BR111" s="159" t="n">
        <v>0</v>
      </c>
      <c r="BS111" s="152">
        <f>MAX(0,BP111+BQ111-BR111)</f>
        <v/>
      </c>
      <c r="BT111" s="152">
        <f>BW110</f>
        <v/>
      </c>
      <c r="BU111" s="159">
        <f>IF(BT111&gt;0.005,BT111*Debts!D25/12,0)</f>
        <v/>
      </c>
      <c r="BV111" s="159" t="n">
        <v>0</v>
      </c>
      <c r="BW111" s="152">
        <f>MAX(0,BT111+BU111-BV111)</f>
        <v/>
      </c>
      <c r="BX111" s="152">
        <f>CA110</f>
        <v/>
      </c>
      <c r="BY111" s="159">
        <f>IF(BX111&gt;0.005,BX111*Debts!D26/12,0)</f>
        <v/>
      </c>
      <c r="BZ111" s="159" t="n">
        <v>0</v>
      </c>
      <c r="CA111" s="152">
        <f>MAX(0,BX111+BY111-BZ111)</f>
        <v/>
      </c>
      <c r="CB111" s="152">
        <f>CE110</f>
        <v/>
      </c>
      <c r="CC111" s="159">
        <f>IF(CB111&gt;0.005,CB111*Debts!D27/12,0)</f>
        <v/>
      </c>
      <c r="CD111" s="159" t="n">
        <v>0</v>
      </c>
      <c r="CE111" s="152">
        <f>MAX(0,CB111+CC111-CD111)</f>
        <v/>
      </c>
      <c r="CF111" s="152">
        <f>G111+K111+O111+S111+W111+AA111+AE111+AI111+AM111+AQ111+AU111+AY111+BC111+BG111+BK111+BO111+BS111+BW111+CA111+CE111</f>
        <v/>
      </c>
      <c r="CG111" s="159">
        <f>E111+I111+M111+Q111+U111+Y111+AC111+AG111+AK111+AO111+AS111+AW111+BA111+BE111+BI111+BM111+BQ111+BU111+BY111+CC111</f>
        <v/>
      </c>
      <c r="CH111" s="152">
        <f>CH110+CG111</f>
        <v/>
      </c>
      <c r="CI111" s="148" t="n"/>
      <c r="CJ111" s="148" t="n"/>
    </row>
    <row r="112" ht="15" customHeight="1" s="83">
      <c r="A112" s="148" t="n"/>
      <c r="B112" s="158" t="n">
        <v>108</v>
      </c>
      <c r="C112" s="152">
        <f>F112+J112+N112+R112+V112+Z112+AD112+AH112+AL112+AP112+AT112+AX112+BB112+BF112+BJ112+BN112+BR112+BV112+BZ112+CD112</f>
        <v/>
      </c>
      <c r="D112" s="152">
        <f>G111</f>
        <v/>
      </c>
      <c r="E112" s="159">
        <f>IF(D112&gt;0.005,D112*Debts!D8/12,0)</f>
        <v/>
      </c>
      <c r="F112" s="159" t="n">
        <v>0</v>
      </c>
      <c r="G112" s="152">
        <f>MAX(0,D112+E112-F112)</f>
        <v/>
      </c>
      <c r="H112" s="152">
        <f>K111</f>
        <v/>
      </c>
      <c r="I112" s="159">
        <f>IF(H112&gt;0.005,H112*Debts!D9/12,0)</f>
        <v/>
      </c>
      <c r="J112" s="159" t="n">
        <v>0</v>
      </c>
      <c r="K112" s="152">
        <f>MAX(0,H112+I112-J112)</f>
        <v/>
      </c>
      <c r="L112" s="152">
        <f>O111</f>
        <v/>
      </c>
      <c r="M112" s="159">
        <f>IF(L112&gt;0.005,L112*Debts!D10/12,0)</f>
        <v/>
      </c>
      <c r="N112" s="159" t="n">
        <v>0</v>
      </c>
      <c r="O112" s="152">
        <f>MAX(0,L112+M112-N112)</f>
        <v/>
      </c>
      <c r="P112" s="152">
        <f>S111</f>
        <v/>
      </c>
      <c r="Q112" s="159">
        <f>IF(P112&gt;0.005,P112*Debts!D11/12,0)</f>
        <v/>
      </c>
      <c r="R112" s="159" t="n">
        <v>0</v>
      </c>
      <c r="S112" s="152">
        <f>MAX(0,P112+Q112-R112)</f>
        <v/>
      </c>
      <c r="T112" s="152">
        <f>W111</f>
        <v/>
      </c>
      <c r="U112" s="159">
        <f>IF(T112&gt;0.005,T112*Debts!D12/12,0)</f>
        <v/>
      </c>
      <c r="V112" s="159" t="n">
        <v>0</v>
      </c>
      <c r="W112" s="152">
        <f>MAX(0,T112+U112-V112)</f>
        <v/>
      </c>
      <c r="X112" s="152">
        <f>AA111</f>
        <v/>
      </c>
      <c r="Y112" s="159">
        <f>IF(X112&gt;0.005,X112*Debts!D13/12,0)</f>
        <v/>
      </c>
      <c r="Z112" s="159" t="n">
        <v>0</v>
      </c>
      <c r="AA112" s="152">
        <f>MAX(0,X112+Y112-Z112)</f>
        <v/>
      </c>
      <c r="AB112" s="152">
        <f>AE111</f>
        <v/>
      </c>
      <c r="AC112" s="159">
        <f>IF(AB112&gt;0.005,AB112*Debts!D14/12,0)</f>
        <v/>
      </c>
      <c r="AD112" s="159" t="n">
        <v>0</v>
      </c>
      <c r="AE112" s="152">
        <f>MAX(0,AB112+AC112-AD112)</f>
        <v/>
      </c>
      <c r="AF112" s="152">
        <f>AI111</f>
        <v/>
      </c>
      <c r="AG112" s="159">
        <f>IF(AF112&gt;0.005,AF112*Debts!D15/12,0)</f>
        <v/>
      </c>
      <c r="AH112" s="159" t="n">
        <v>0</v>
      </c>
      <c r="AI112" s="152">
        <f>MAX(0,AF112+AG112-AH112)</f>
        <v/>
      </c>
      <c r="AJ112" s="152">
        <f>AM111</f>
        <v/>
      </c>
      <c r="AK112" s="159">
        <f>IF(AJ112&gt;0.005,AJ112*Debts!D16/12,0)</f>
        <v/>
      </c>
      <c r="AL112" s="159" t="n">
        <v>0</v>
      </c>
      <c r="AM112" s="152">
        <f>MAX(0,AJ112+AK112-AL112)</f>
        <v/>
      </c>
      <c r="AN112" s="152">
        <f>AQ111</f>
        <v/>
      </c>
      <c r="AO112" s="159">
        <f>IF(AN112&gt;0.005,AN112*Debts!D17/12,0)</f>
        <v/>
      </c>
      <c r="AP112" s="159" t="n">
        <v>0</v>
      </c>
      <c r="AQ112" s="152">
        <f>MAX(0,AN112+AO112-AP112)</f>
        <v/>
      </c>
      <c r="AR112" s="152">
        <f>AU111</f>
        <v/>
      </c>
      <c r="AS112" s="159">
        <f>IF(AR112&gt;0.005,AR112*Debts!D18/12,0)</f>
        <v/>
      </c>
      <c r="AT112" s="159" t="n">
        <v>0</v>
      </c>
      <c r="AU112" s="152">
        <f>MAX(0,AR112+AS112-AT112)</f>
        <v/>
      </c>
      <c r="AV112" s="152">
        <f>AY111</f>
        <v/>
      </c>
      <c r="AW112" s="159">
        <f>IF(AV112&gt;0.005,AV112*Debts!D19/12,0)</f>
        <v/>
      </c>
      <c r="AX112" s="159" t="n">
        <v>0</v>
      </c>
      <c r="AY112" s="152">
        <f>MAX(0,AV112+AW112-AX112)</f>
        <v/>
      </c>
      <c r="AZ112" s="152">
        <f>BC111</f>
        <v/>
      </c>
      <c r="BA112" s="159">
        <f>IF(AZ112&gt;0.005,AZ112*Debts!D20/12,0)</f>
        <v/>
      </c>
      <c r="BB112" s="159" t="n">
        <v>0</v>
      </c>
      <c r="BC112" s="152">
        <f>MAX(0,AZ112+BA112-BB112)</f>
        <v/>
      </c>
      <c r="BD112" s="152">
        <f>BG111</f>
        <v/>
      </c>
      <c r="BE112" s="159">
        <f>IF(BD112&gt;0.005,BD112*Debts!D21/12,0)</f>
        <v/>
      </c>
      <c r="BF112" s="159" t="n">
        <v>0</v>
      </c>
      <c r="BG112" s="152">
        <f>MAX(0,BD112+BE112-BF112)</f>
        <v/>
      </c>
      <c r="BH112" s="152">
        <f>BK111</f>
        <v/>
      </c>
      <c r="BI112" s="159">
        <f>IF(BH112&gt;0.005,BH112*Debts!D22/12,0)</f>
        <v/>
      </c>
      <c r="BJ112" s="159" t="n">
        <v>0</v>
      </c>
      <c r="BK112" s="152">
        <f>MAX(0,BH112+BI112-BJ112)</f>
        <v/>
      </c>
      <c r="BL112" s="152">
        <f>BO111</f>
        <v/>
      </c>
      <c r="BM112" s="159">
        <f>IF(BL112&gt;0.005,BL112*Debts!D23/12,0)</f>
        <v/>
      </c>
      <c r="BN112" s="159" t="n">
        <v>0</v>
      </c>
      <c r="BO112" s="152">
        <f>MAX(0,BL112+BM112-BN112)</f>
        <v/>
      </c>
      <c r="BP112" s="152">
        <f>BS111</f>
        <v/>
      </c>
      <c r="BQ112" s="159">
        <f>IF(BP112&gt;0.005,BP112*Debts!D24/12,0)</f>
        <v/>
      </c>
      <c r="BR112" s="159" t="n">
        <v>0</v>
      </c>
      <c r="BS112" s="152">
        <f>MAX(0,BP112+BQ112-BR112)</f>
        <v/>
      </c>
      <c r="BT112" s="152">
        <f>BW111</f>
        <v/>
      </c>
      <c r="BU112" s="159">
        <f>IF(BT112&gt;0.005,BT112*Debts!D25/12,0)</f>
        <v/>
      </c>
      <c r="BV112" s="159" t="n">
        <v>0</v>
      </c>
      <c r="BW112" s="152">
        <f>MAX(0,BT112+BU112-BV112)</f>
        <v/>
      </c>
      <c r="BX112" s="152">
        <f>CA111</f>
        <v/>
      </c>
      <c r="BY112" s="159">
        <f>IF(BX112&gt;0.005,BX112*Debts!D26/12,0)</f>
        <v/>
      </c>
      <c r="BZ112" s="159" t="n">
        <v>0</v>
      </c>
      <c r="CA112" s="152">
        <f>MAX(0,BX112+BY112-BZ112)</f>
        <v/>
      </c>
      <c r="CB112" s="152">
        <f>CE111</f>
        <v/>
      </c>
      <c r="CC112" s="159">
        <f>IF(CB112&gt;0.005,CB112*Debts!D27/12,0)</f>
        <v/>
      </c>
      <c r="CD112" s="159" t="n">
        <v>0</v>
      </c>
      <c r="CE112" s="152">
        <f>MAX(0,CB112+CC112-CD112)</f>
        <v/>
      </c>
      <c r="CF112" s="152">
        <f>G112+K112+O112+S112+W112+AA112+AE112+AI112+AM112+AQ112+AU112+AY112+BC112+BG112+BK112+BO112+BS112+BW112+CA112+CE112</f>
        <v/>
      </c>
      <c r="CG112" s="159">
        <f>E112+I112+M112+Q112+U112+Y112+AC112+AG112+AK112+AO112+AS112+AW112+BA112+BE112+BI112+BM112+BQ112+BU112+BY112+CC112</f>
        <v/>
      </c>
      <c r="CH112" s="152">
        <f>CH111+CG112</f>
        <v/>
      </c>
      <c r="CI112" s="148" t="n"/>
      <c r="CJ112" s="148" t="n"/>
    </row>
    <row r="113" ht="15" customHeight="1" s="83">
      <c r="A113" s="148" t="n"/>
      <c r="B113" s="158" t="n">
        <v>109</v>
      </c>
      <c r="C113" s="152">
        <f>F113+J113+N113+R113+V113+Z113+AD113+AH113+AL113+AP113+AT113+AX113+BB113+BF113+BJ113+BN113+BR113+BV113+BZ113+CD113</f>
        <v/>
      </c>
      <c r="D113" s="152">
        <f>G112</f>
        <v/>
      </c>
      <c r="E113" s="159">
        <f>IF(D113&gt;0.005,D113*Debts!D8/12,0)</f>
        <v/>
      </c>
      <c r="F113" s="159" t="n">
        <v>0</v>
      </c>
      <c r="G113" s="152">
        <f>MAX(0,D113+E113-F113)</f>
        <v/>
      </c>
      <c r="H113" s="152">
        <f>K112</f>
        <v/>
      </c>
      <c r="I113" s="159">
        <f>IF(H113&gt;0.005,H113*Debts!D9/12,0)</f>
        <v/>
      </c>
      <c r="J113" s="159" t="n">
        <v>0</v>
      </c>
      <c r="K113" s="152">
        <f>MAX(0,H113+I113-J113)</f>
        <v/>
      </c>
      <c r="L113" s="152">
        <f>O112</f>
        <v/>
      </c>
      <c r="M113" s="159">
        <f>IF(L113&gt;0.005,L113*Debts!D10/12,0)</f>
        <v/>
      </c>
      <c r="N113" s="159" t="n">
        <v>0</v>
      </c>
      <c r="O113" s="152">
        <f>MAX(0,L113+M113-N113)</f>
        <v/>
      </c>
      <c r="P113" s="152">
        <f>S112</f>
        <v/>
      </c>
      <c r="Q113" s="159">
        <f>IF(P113&gt;0.005,P113*Debts!D11/12,0)</f>
        <v/>
      </c>
      <c r="R113" s="159" t="n">
        <v>0</v>
      </c>
      <c r="S113" s="152">
        <f>MAX(0,P113+Q113-R113)</f>
        <v/>
      </c>
      <c r="T113" s="152">
        <f>W112</f>
        <v/>
      </c>
      <c r="U113" s="159">
        <f>IF(T113&gt;0.005,T113*Debts!D12/12,0)</f>
        <v/>
      </c>
      <c r="V113" s="159" t="n">
        <v>0</v>
      </c>
      <c r="W113" s="152">
        <f>MAX(0,T113+U113-V113)</f>
        <v/>
      </c>
      <c r="X113" s="152">
        <f>AA112</f>
        <v/>
      </c>
      <c r="Y113" s="159">
        <f>IF(X113&gt;0.005,X113*Debts!D13/12,0)</f>
        <v/>
      </c>
      <c r="Z113" s="159" t="n">
        <v>0</v>
      </c>
      <c r="AA113" s="152">
        <f>MAX(0,X113+Y113-Z113)</f>
        <v/>
      </c>
      <c r="AB113" s="152">
        <f>AE112</f>
        <v/>
      </c>
      <c r="AC113" s="159">
        <f>IF(AB113&gt;0.005,AB113*Debts!D14/12,0)</f>
        <v/>
      </c>
      <c r="AD113" s="159" t="n">
        <v>0</v>
      </c>
      <c r="AE113" s="152">
        <f>MAX(0,AB113+AC113-AD113)</f>
        <v/>
      </c>
      <c r="AF113" s="152">
        <f>AI112</f>
        <v/>
      </c>
      <c r="AG113" s="159">
        <f>IF(AF113&gt;0.005,AF113*Debts!D15/12,0)</f>
        <v/>
      </c>
      <c r="AH113" s="159" t="n">
        <v>0</v>
      </c>
      <c r="AI113" s="152">
        <f>MAX(0,AF113+AG113-AH113)</f>
        <v/>
      </c>
      <c r="AJ113" s="152">
        <f>AM112</f>
        <v/>
      </c>
      <c r="AK113" s="159">
        <f>IF(AJ113&gt;0.005,AJ113*Debts!D16/12,0)</f>
        <v/>
      </c>
      <c r="AL113" s="159" t="n">
        <v>0</v>
      </c>
      <c r="AM113" s="152">
        <f>MAX(0,AJ113+AK113-AL113)</f>
        <v/>
      </c>
      <c r="AN113" s="152">
        <f>AQ112</f>
        <v/>
      </c>
      <c r="AO113" s="159">
        <f>IF(AN113&gt;0.005,AN113*Debts!D17/12,0)</f>
        <v/>
      </c>
      <c r="AP113" s="159" t="n">
        <v>0</v>
      </c>
      <c r="AQ113" s="152">
        <f>MAX(0,AN113+AO113-AP113)</f>
        <v/>
      </c>
      <c r="AR113" s="152">
        <f>AU112</f>
        <v/>
      </c>
      <c r="AS113" s="159">
        <f>IF(AR113&gt;0.005,AR113*Debts!D18/12,0)</f>
        <v/>
      </c>
      <c r="AT113" s="159" t="n">
        <v>0</v>
      </c>
      <c r="AU113" s="152">
        <f>MAX(0,AR113+AS113-AT113)</f>
        <v/>
      </c>
      <c r="AV113" s="152">
        <f>AY112</f>
        <v/>
      </c>
      <c r="AW113" s="159">
        <f>IF(AV113&gt;0.005,AV113*Debts!D19/12,0)</f>
        <v/>
      </c>
      <c r="AX113" s="159" t="n">
        <v>0</v>
      </c>
      <c r="AY113" s="152">
        <f>MAX(0,AV113+AW113-AX113)</f>
        <v/>
      </c>
      <c r="AZ113" s="152">
        <f>BC112</f>
        <v/>
      </c>
      <c r="BA113" s="159">
        <f>IF(AZ113&gt;0.005,AZ113*Debts!D20/12,0)</f>
        <v/>
      </c>
      <c r="BB113" s="159" t="n">
        <v>0</v>
      </c>
      <c r="BC113" s="152">
        <f>MAX(0,AZ113+BA113-BB113)</f>
        <v/>
      </c>
      <c r="BD113" s="152">
        <f>BG112</f>
        <v/>
      </c>
      <c r="BE113" s="159">
        <f>IF(BD113&gt;0.005,BD113*Debts!D21/12,0)</f>
        <v/>
      </c>
      <c r="BF113" s="159" t="n">
        <v>0</v>
      </c>
      <c r="BG113" s="152">
        <f>MAX(0,BD113+BE113-BF113)</f>
        <v/>
      </c>
      <c r="BH113" s="152">
        <f>BK112</f>
        <v/>
      </c>
      <c r="BI113" s="159">
        <f>IF(BH113&gt;0.005,BH113*Debts!D22/12,0)</f>
        <v/>
      </c>
      <c r="BJ113" s="159" t="n">
        <v>0</v>
      </c>
      <c r="BK113" s="152">
        <f>MAX(0,BH113+BI113-BJ113)</f>
        <v/>
      </c>
      <c r="BL113" s="152">
        <f>BO112</f>
        <v/>
      </c>
      <c r="BM113" s="159">
        <f>IF(BL113&gt;0.005,BL113*Debts!D23/12,0)</f>
        <v/>
      </c>
      <c r="BN113" s="159" t="n">
        <v>0</v>
      </c>
      <c r="BO113" s="152">
        <f>MAX(0,BL113+BM113-BN113)</f>
        <v/>
      </c>
      <c r="BP113" s="152">
        <f>BS112</f>
        <v/>
      </c>
      <c r="BQ113" s="159">
        <f>IF(BP113&gt;0.005,BP113*Debts!D24/12,0)</f>
        <v/>
      </c>
      <c r="BR113" s="159" t="n">
        <v>0</v>
      </c>
      <c r="BS113" s="152">
        <f>MAX(0,BP113+BQ113-BR113)</f>
        <v/>
      </c>
      <c r="BT113" s="152">
        <f>BW112</f>
        <v/>
      </c>
      <c r="BU113" s="159">
        <f>IF(BT113&gt;0.005,BT113*Debts!D25/12,0)</f>
        <v/>
      </c>
      <c r="BV113" s="159" t="n">
        <v>0</v>
      </c>
      <c r="BW113" s="152">
        <f>MAX(0,BT113+BU113-BV113)</f>
        <v/>
      </c>
      <c r="BX113" s="152">
        <f>CA112</f>
        <v/>
      </c>
      <c r="BY113" s="159">
        <f>IF(BX113&gt;0.005,BX113*Debts!D26/12,0)</f>
        <v/>
      </c>
      <c r="BZ113" s="159" t="n">
        <v>0</v>
      </c>
      <c r="CA113" s="152">
        <f>MAX(0,BX113+BY113-BZ113)</f>
        <v/>
      </c>
      <c r="CB113" s="152">
        <f>CE112</f>
        <v/>
      </c>
      <c r="CC113" s="159">
        <f>IF(CB113&gt;0.005,CB113*Debts!D27/12,0)</f>
        <v/>
      </c>
      <c r="CD113" s="159" t="n">
        <v>0</v>
      </c>
      <c r="CE113" s="152">
        <f>MAX(0,CB113+CC113-CD113)</f>
        <v/>
      </c>
      <c r="CF113" s="152">
        <f>G113+K113+O113+S113+W113+AA113+AE113+AI113+AM113+AQ113+AU113+AY113+BC113+BG113+BK113+BO113+BS113+BW113+CA113+CE113</f>
        <v/>
      </c>
      <c r="CG113" s="159">
        <f>E113+I113+M113+Q113+U113+Y113+AC113+AG113+AK113+AO113+AS113+AW113+BA113+BE113+BI113+BM113+BQ113+BU113+BY113+CC113</f>
        <v/>
      </c>
      <c r="CH113" s="152">
        <f>CH112+CG113</f>
        <v/>
      </c>
      <c r="CI113" s="148" t="n"/>
      <c r="CJ113" s="148" t="n"/>
    </row>
    <row r="114" ht="15" customHeight="1" s="83">
      <c r="A114" s="148" t="n"/>
      <c r="B114" s="158" t="n">
        <v>110</v>
      </c>
      <c r="C114" s="152">
        <f>F114+J114+N114+R114+V114+Z114+AD114+AH114+AL114+AP114+AT114+AX114+BB114+BF114+BJ114+BN114+BR114+BV114+BZ114+CD114</f>
        <v/>
      </c>
      <c r="D114" s="152">
        <f>G113</f>
        <v/>
      </c>
      <c r="E114" s="159">
        <f>IF(D114&gt;0.005,D114*Debts!D8/12,0)</f>
        <v/>
      </c>
      <c r="F114" s="159" t="n">
        <v>0</v>
      </c>
      <c r="G114" s="152">
        <f>MAX(0,D114+E114-F114)</f>
        <v/>
      </c>
      <c r="H114" s="152">
        <f>K113</f>
        <v/>
      </c>
      <c r="I114" s="159">
        <f>IF(H114&gt;0.005,H114*Debts!D9/12,0)</f>
        <v/>
      </c>
      <c r="J114" s="159" t="n">
        <v>0</v>
      </c>
      <c r="K114" s="152">
        <f>MAX(0,H114+I114-J114)</f>
        <v/>
      </c>
      <c r="L114" s="152">
        <f>O113</f>
        <v/>
      </c>
      <c r="M114" s="159">
        <f>IF(L114&gt;0.005,L114*Debts!D10/12,0)</f>
        <v/>
      </c>
      <c r="N114" s="159" t="n">
        <v>0</v>
      </c>
      <c r="O114" s="152">
        <f>MAX(0,L114+M114-N114)</f>
        <v/>
      </c>
      <c r="P114" s="152">
        <f>S113</f>
        <v/>
      </c>
      <c r="Q114" s="159">
        <f>IF(P114&gt;0.005,P114*Debts!D11/12,0)</f>
        <v/>
      </c>
      <c r="R114" s="159" t="n">
        <v>0</v>
      </c>
      <c r="S114" s="152">
        <f>MAX(0,P114+Q114-R114)</f>
        <v/>
      </c>
      <c r="T114" s="152">
        <f>W113</f>
        <v/>
      </c>
      <c r="U114" s="159">
        <f>IF(T114&gt;0.005,T114*Debts!D12/12,0)</f>
        <v/>
      </c>
      <c r="V114" s="159" t="n">
        <v>0</v>
      </c>
      <c r="W114" s="152">
        <f>MAX(0,T114+U114-V114)</f>
        <v/>
      </c>
      <c r="X114" s="152">
        <f>AA113</f>
        <v/>
      </c>
      <c r="Y114" s="159">
        <f>IF(X114&gt;0.005,X114*Debts!D13/12,0)</f>
        <v/>
      </c>
      <c r="Z114" s="159" t="n">
        <v>0</v>
      </c>
      <c r="AA114" s="152">
        <f>MAX(0,X114+Y114-Z114)</f>
        <v/>
      </c>
      <c r="AB114" s="152">
        <f>AE113</f>
        <v/>
      </c>
      <c r="AC114" s="159">
        <f>IF(AB114&gt;0.005,AB114*Debts!D14/12,0)</f>
        <v/>
      </c>
      <c r="AD114" s="159" t="n">
        <v>0</v>
      </c>
      <c r="AE114" s="152">
        <f>MAX(0,AB114+AC114-AD114)</f>
        <v/>
      </c>
      <c r="AF114" s="152">
        <f>AI113</f>
        <v/>
      </c>
      <c r="AG114" s="159">
        <f>IF(AF114&gt;0.005,AF114*Debts!D15/12,0)</f>
        <v/>
      </c>
      <c r="AH114" s="159" t="n">
        <v>0</v>
      </c>
      <c r="AI114" s="152">
        <f>MAX(0,AF114+AG114-AH114)</f>
        <v/>
      </c>
      <c r="AJ114" s="152">
        <f>AM113</f>
        <v/>
      </c>
      <c r="AK114" s="159">
        <f>IF(AJ114&gt;0.005,AJ114*Debts!D16/12,0)</f>
        <v/>
      </c>
      <c r="AL114" s="159" t="n">
        <v>0</v>
      </c>
      <c r="AM114" s="152">
        <f>MAX(0,AJ114+AK114-AL114)</f>
        <v/>
      </c>
      <c r="AN114" s="152">
        <f>AQ113</f>
        <v/>
      </c>
      <c r="AO114" s="159">
        <f>IF(AN114&gt;0.005,AN114*Debts!D17/12,0)</f>
        <v/>
      </c>
      <c r="AP114" s="159" t="n">
        <v>0</v>
      </c>
      <c r="AQ114" s="152">
        <f>MAX(0,AN114+AO114-AP114)</f>
        <v/>
      </c>
      <c r="AR114" s="152">
        <f>AU113</f>
        <v/>
      </c>
      <c r="AS114" s="159">
        <f>IF(AR114&gt;0.005,AR114*Debts!D18/12,0)</f>
        <v/>
      </c>
      <c r="AT114" s="159" t="n">
        <v>0</v>
      </c>
      <c r="AU114" s="152">
        <f>MAX(0,AR114+AS114-AT114)</f>
        <v/>
      </c>
      <c r="AV114" s="152">
        <f>AY113</f>
        <v/>
      </c>
      <c r="AW114" s="159">
        <f>IF(AV114&gt;0.005,AV114*Debts!D19/12,0)</f>
        <v/>
      </c>
      <c r="AX114" s="159" t="n">
        <v>0</v>
      </c>
      <c r="AY114" s="152">
        <f>MAX(0,AV114+AW114-AX114)</f>
        <v/>
      </c>
      <c r="AZ114" s="152">
        <f>BC113</f>
        <v/>
      </c>
      <c r="BA114" s="159">
        <f>IF(AZ114&gt;0.005,AZ114*Debts!D20/12,0)</f>
        <v/>
      </c>
      <c r="BB114" s="159" t="n">
        <v>0</v>
      </c>
      <c r="BC114" s="152">
        <f>MAX(0,AZ114+BA114-BB114)</f>
        <v/>
      </c>
      <c r="BD114" s="152">
        <f>BG113</f>
        <v/>
      </c>
      <c r="BE114" s="159">
        <f>IF(BD114&gt;0.005,BD114*Debts!D21/12,0)</f>
        <v/>
      </c>
      <c r="BF114" s="159" t="n">
        <v>0</v>
      </c>
      <c r="BG114" s="152">
        <f>MAX(0,BD114+BE114-BF114)</f>
        <v/>
      </c>
      <c r="BH114" s="152">
        <f>BK113</f>
        <v/>
      </c>
      <c r="BI114" s="159">
        <f>IF(BH114&gt;0.005,BH114*Debts!D22/12,0)</f>
        <v/>
      </c>
      <c r="BJ114" s="159" t="n">
        <v>0</v>
      </c>
      <c r="BK114" s="152">
        <f>MAX(0,BH114+BI114-BJ114)</f>
        <v/>
      </c>
      <c r="BL114" s="152">
        <f>BO113</f>
        <v/>
      </c>
      <c r="BM114" s="159">
        <f>IF(BL114&gt;0.005,BL114*Debts!D23/12,0)</f>
        <v/>
      </c>
      <c r="BN114" s="159" t="n">
        <v>0</v>
      </c>
      <c r="BO114" s="152">
        <f>MAX(0,BL114+BM114-BN114)</f>
        <v/>
      </c>
      <c r="BP114" s="152">
        <f>BS113</f>
        <v/>
      </c>
      <c r="BQ114" s="159">
        <f>IF(BP114&gt;0.005,BP114*Debts!D24/12,0)</f>
        <v/>
      </c>
      <c r="BR114" s="159" t="n">
        <v>0</v>
      </c>
      <c r="BS114" s="152">
        <f>MAX(0,BP114+BQ114-BR114)</f>
        <v/>
      </c>
      <c r="BT114" s="152">
        <f>BW113</f>
        <v/>
      </c>
      <c r="BU114" s="159">
        <f>IF(BT114&gt;0.005,BT114*Debts!D25/12,0)</f>
        <v/>
      </c>
      <c r="BV114" s="159" t="n">
        <v>0</v>
      </c>
      <c r="BW114" s="152">
        <f>MAX(0,BT114+BU114-BV114)</f>
        <v/>
      </c>
      <c r="BX114" s="152">
        <f>CA113</f>
        <v/>
      </c>
      <c r="BY114" s="159">
        <f>IF(BX114&gt;0.005,BX114*Debts!D26/12,0)</f>
        <v/>
      </c>
      <c r="BZ114" s="159" t="n">
        <v>0</v>
      </c>
      <c r="CA114" s="152">
        <f>MAX(0,BX114+BY114-BZ114)</f>
        <v/>
      </c>
      <c r="CB114" s="152">
        <f>CE113</f>
        <v/>
      </c>
      <c r="CC114" s="159">
        <f>IF(CB114&gt;0.005,CB114*Debts!D27/12,0)</f>
        <v/>
      </c>
      <c r="CD114" s="159" t="n">
        <v>0</v>
      </c>
      <c r="CE114" s="152">
        <f>MAX(0,CB114+CC114-CD114)</f>
        <v/>
      </c>
      <c r="CF114" s="152">
        <f>G114+K114+O114+S114+W114+AA114+AE114+AI114+AM114+AQ114+AU114+AY114+BC114+BG114+BK114+BO114+BS114+BW114+CA114+CE114</f>
        <v/>
      </c>
      <c r="CG114" s="159">
        <f>E114+I114+M114+Q114+U114+Y114+AC114+AG114+AK114+AO114+AS114+AW114+BA114+BE114+BI114+BM114+BQ114+BU114+BY114+CC114</f>
        <v/>
      </c>
      <c r="CH114" s="152">
        <f>CH113+CG114</f>
        <v/>
      </c>
      <c r="CI114" s="148" t="n"/>
      <c r="CJ114" s="148" t="n"/>
    </row>
    <row r="115" ht="15" customHeight="1" s="83">
      <c r="A115" s="148" t="n"/>
      <c r="B115" s="158" t="n">
        <v>111</v>
      </c>
      <c r="C115" s="152">
        <f>F115+J115+N115+R115+V115+Z115+AD115+AH115+AL115+AP115+AT115+AX115+BB115+BF115+BJ115+BN115+BR115+BV115+BZ115+CD115</f>
        <v/>
      </c>
      <c r="D115" s="152">
        <f>G114</f>
        <v/>
      </c>
      <c r="E115" s="159">
        <f>IF(D115&gt;0.005,D115*Debts!D8/12,0)</f>
        <v/>
      </c>
      <c r="F115" s="159" t="n">
        <v>0</v>
      </c>
      <c r="G115" s="152">
        <f>MAX(0,D115+E115-F115)</f>
        <v/>
      </c>
      <c r="H115" s="152">
        <f>K114</f>
        <v/>
      </c>
      <c r="I115" s="159">
        <f>IF(H115&gt;0.005,H115*Debts!D9/12,0)</f>
        <v/>
      </c>
      <c r="J115" s="159" t="n">
        <v>0</v>
      </c>
      <c r="K115" s="152">
        <f>MAX(0,H115+I115-J115)</f>
        <v/>
      </c>
      <c r="L115" s="152">
        <f>O114</f>
        <v/>
      </c>
      <c r="M115" s="159">
        <f>IF(L115&gt;0.005,L115*Debts!D10/12,0)</f>
        <v/>
      </c>
      <c r="N115" s="159" t="n">
        <v>0</v>
      </c>
      <c r="O115" s="152">
        <f>MAX(0,L115+M115-N115)</f>
        <v/>
      </c>
      <c r="P115" s="152">
        <f>S114</f>
        <v/>
      </c>
      <c r="Q115" s="159">
        <f>IF(P115&gt;0.005,P115*Debts!D11/12,0)</f>
        <v/>
      </c>
      <c r="R115" s="159" t="n">
        <v>0</v>
      </c>
      <c r="S115" s="152">
        <f>MAX(0,P115+Q115-R115)</f>
        <v/>
      </c>
      <c r="T115" s="152">
        <f>W114</f>
        <v/>
      </c>
      <c r="U115" s="159">
        <f>IF(T115&gt;0.005,T115*Debts!D12/12,0)</f>
        <v/>
      </c>
      <c r="V115" s="159" t="n">
        <v>0</v>
      </c>
      <c r="W115" s="152">
        <f>MAX(0,T115+U115-V115)</f>
        <v/>
      </c>
      <c r="X115" s="152">
        <f>AA114</f>
        <v/>
      </c>
      <c r="Y115" s="159">
        <f>IF(X115&gt;0.005,X115*Debts!D13/12,0)</f>
        <v/>
      </c>
      <c r="Z115" s="159" t="n">
        <v>0</v>
      </c>
      <c r="AA115" s="152">
        <f>MAX(0,X115+Y115-Z115)</f>
        <v/>
      </c>
      <c r="AB115" s="152">
        <f>AE114</f>
        <v/>
      </c>
      <c r="AC115" s="159">
        <f>IF(AB115&gt;0.005,AB115*Debts!D14/12,0)</f>
        <v/>
      </c>
      <c r="AD115" s="159" t="n">
        <v>0</v>
      </c>
      <c r="AE115" s="152">
        <f>MAX(0,AB115+AC115-AD115)</f>
        <v/>
      </c>
      <c r="AF115" s="152">
        <f>AI114</f>
        <v/>
      </c>
      <c r="AG115" s="159">
        <f>IF(AF115&gt;0.005,AF115*Debts!D15/12,0)</f>
        <v/>
      </c>
      <c r="AH115" s="159" t="n">
        <v>0</v>
      </c>
      <c r="AI115" s="152">
        <f>MAX(0,AF115+AG115-AH115)</f>
        <v/>
      </c>
      <c r="AJ115" s="152">
        <f>AM114</f>
        <v/>
      </c>
      <c r="AK115" s="159">
        <f>IF(AJ115&gt;0.005,AJ115*Debts!D16/12,0)</f>
        <v/>
      </c>
      <c r="AL115" s="159" t="n">
        <v>0</v>
      </c>
      <c r="AM115" s="152">
        <f>MAX(0,AJ115+AK115-AL115)</f>
        <v/>
      </c>
      <c r="AN115" s="152">
        <f>AQ114</f>
        <v/>
      </c>
      <c r="AO115" s="159">
        <f>IF(AN115&gt;0.005,AN115*Debts!D17/12,0)</f>
        <v/>
      </c>
      <c r="AP115" s="159" t="n">
        <v>0</v>
      </c>
      <c r="AQ115" s="152">
        <f>MAX(0,AN115+AO115-AP115)</f>
        <v/>
      </c>
      <c r="AR115" s="152">
        <f>AU114</f>
        <v/>
      </c>
      <c r="AS115" s="159">
        <f>IF(AR115&gt;0.005,AR115*Debts!D18/12,0)</f>
        <v/>
      </c>
      <c r="AT115" s="159" t="n">
        <v>0</v>
      </c>
      <c r="AU115" s="152">
        <f>MAX(0,AR115+AS115-AT115)</f>
        <v/>
      </c>
      <c r="AV115" s="152">
        <f>AY114</f>
        <v/>
      </c>
      <c r="AW115" s="159">
        <f>IF(AV115&gt;0.005,AV115*Debts!D19/12,0)</f>
        <v/>
      </c>
      <c r="AX115" s="159" t="n">
        <v>0</v>
      </c>
      <c r="AY115" s="152">
        <f>MAX(0,AV115+AW115-AX115)</f>
        <v/>
      </c>
      <c r="AZ115" s="152">
        <f>BC114</f>
        <v/>
      </c>
      <c r="BA115" s="159">
        <f>IF(AZ115&gt;0.005,AZ115*Debts!D20/12,0)</f>
        <v/>
      </c>
      <c r="BB115" s="159" t="n">
        <v>0</v>
      </c>
      <c r="BC115" s="152">
        <f>MAX(0,AZ115+BA115-BB115)</f>
        <v/>
      </c>
      <c r="BD115" s="152">
        <f>BG114</f>
        <v/>
      </c>
      <c r="BE115" s="159">
        <f>IF(BD115&gt;0.005,BD115*Debts!D21/12,0)</f>
        <v/>
      </c>
      <c r="BF115" s="159" t="n">
        <v>0</v>
      </c>
      <c r="BG115" s="152">
        <f>MAX(0,BD115+BE115-BF115)</f>
        <v/>
      </c>
      <c r="BH115" s="152">
        <f>BK114</f>
        <v/>
      </c>
      <c r="BI115" s="159">
        <f>IF(BH115&gt;0.005,BH115*Debts!D22/12,0)</f>
        <v/>
      </c>
      <c r="BJ115" s="159" t="n">
        <v>0</v>
      </c>
      <c r="BK115" s="152">
        <f>MAX(0,BH115+BI115-BJ115)</f>
        <v/>
      </c>
      <c r="BL115" s="152">
        <f>BO114</f>
        <v/>
      </c>
      <c r="BM115" s="159">
        <f>IF(BL115&gt;0.005,BL115*Debts!D23/12,0)</f>
        <v/>
      </c>
      <c r="BN115" s="159" t="n">
        <v>0</v>
      </c>
      <c r="BO115" s="152">
        <f>MAX(0,BL115+BM115-BN115)</f>
        <v/>
      </c>
      <c r="BP115" s="152">
        <f>BS114</f>
        <v/>
      </c>
      <c r="BQ115" s="159">
        <f>IF(BP115&gt;0.005,BP115*Debts!D24/12,0)</f>
        <v/>
      </c>
      <c r="BR115" s="159" t="n">
        <v>0</v>
      </c>
      <c r="BS115" s="152">
        <f>MAX(0,BP115+BQ115-BR115)</f>
        <v/>
      </c>
      <c r="BT115" s="152">
        <f>BW114</f>
        <v/>
      </c>
      <c r="BU115" s="159">
        <f>IF(BT115&gt;0.005,BT115*Debts!D25/12,0)</f>
        <v/>
      </c>
      <c r="BV115" s="159" t="n">
        <v>0</v>
      </c>
      <c r="BW115" s="152">
        <f>MAX(0,BT115+BU115-BV115)</f>
        <v/>
      </c>
      <c r="BX115" s="152">
        <f>CA114</f>
        <v/>
      </c>
      <c r="BY115" s="159">
        <f>IF(BX115&gt;0.005,BX115*Debts!D26/12,0)</f>
        <v/>
      </c>
      <c r="BZ115" s="159" t="n">
        <v>0</v>
      </c>
      <c r="CA115" s="152">
        <f>MAX(0,BX115+BY115-BZ115)</f>
        <v/>
      </c>
      <c r="CB115" s="152">
        <f>CE114</f>
        <v/>
      </c>
      <c r="CC115" s="159">
        <f>IF(CB115&gt;0.005,CB115*Debts!D27/12,0)</f>
        <v/>
      </c>
      <c r="CD115" s="159" t="n">
        <v>0</v>
      </c>
      <c r="CE115" s="152">
        <f>MAX(0,CB115+CC115-CD115)</f>
        <v/>
      </c>
      <c r="CF115" s="152">
        <f>G115+K115+O115+S115+W115+AA115+AE115+AI115+AM115+AQ115+AU115+AY115+BC115+BG115+BK115+BO115+BS115+BW115+CA115+CE115</f>
        <v/>
      </c>
      <c r="CG115" s="159">
        <f>E115+I115+M115+Q115+U115+Y115+AC115+AG115+AK115+AO115+AS115+AW115+BA115+BE115+BI115+BM115+BQ115+BU115+BY115+CC115</f>
        <v/>
      </c>
      <c r="CH115" s="152">
        <f>CH114+CG115</f>
        <v/>
      </c>
      <c r="CI115" s="148" t="n"/>
      <c r="CJ115" s="148" t="n"/>
    </row>
    <row r="116" ht="15" customHeight="1" s="83">
      <c r="A116" s="148" t="n"/>
      <c r="B116" s="158" t="n">
        <v>112</v>
      </c>
      <c r="C116" s="152">
        <f>F116+J116+N116+R116+V116+Z116+AD116+AH116+AL116+AP116+AT116+AX116+BB116+BF116+BJ116+BN116+BR116+BV116+BZ116+CD116</f>
        <v/>
      </c>
      <c r="D116" s="152">
        <f>G115</f>
        <v/>
      </c>
      <c r="E116" s="159">
        <f>IF(D116&gt;0.005,D116*Debts!D8/12,0)</f>
        <v/>
      </c>
      <c r="F116" s="159" t="n">
        <v>0</v>
      </c>
      <c r="G116" s="152">
        <f>MAX(0,D116+E116-F116)</f>
        <v/>
      </c>
      <c r="H116" s="152">
        <f>K115</f>
        <v/>
      </c>
      <c r="I116" s="159">
        <f>IF(H116&gt;0.005,H116*Debts!D9/12,0)</f>
        <v/>
      </c>
      <c r="J116" s="159" t="n">
        <v>0</v>
      </c>
      <c r="K116" s="152">
        <f>MAX(0,H116+I116-J116)</f>
        <v/>
      </c>
      <c r="L116" s="152">
        <f>O115</f>
        <v/>
      </c>
      <c r="M116" s="159">
        <f>IF(L116&gt;0.005,L116*Debts!D10/12,0)</f>
        <v/>
      </c>
      <c r="N116" s="159" t="n">
        <v>0</v>
      </c>
      <c r="O116" s="152">
        <f>MAX(0,L116+M116-N116)</f>
        <v/>
      </c>
      <c r="P116" s="152">
        <f>S115</f>
        <v/>
      </c>
      <c r="Q116" s="159">
        <f>IF(P116&gt;0.005,P116*Debts!D11/12,0)</f>
        <v/>
      </c>
      <c r="R116" s="159" t="n">
        <v>0</v>
      </c>
      <c r="S116" s="152">
        <f>MAX(0,P116+Q116-R116)</f>
        <v/>
      </c>
      <c r="T116" s="152">
        <f>W115</f>
        <v/>
      </c>
      <c r="U116" s="159">
        <f>IF(T116&gt;0.005,T116*Debts!D12/12,0)</f>
        <v/>
      </c>
      <c r="V116" s="159" t="n">
        <v>0</v>
      </c>
      <c r="W116" s="152">
        <f>MAX(0,T116+U116-V116)</f>
        <v/>
      </c>
      <c r="X116" s="152">
        <f>AA115</f>
        <v/>
      </c>
      <c r="Y116" s="159">
        <f>IF(X116&gt;0.005,X116*Debts!D13/12,0)</f>
        <v/>
      </c>
      <c r="Z116" s="159" t="n">
        <v>0</v>
      </c>
      <c r="AA116" s="152">
        <f>MAX(0,X116+Y116-Z116)</f>
        <v/>
      </c>
      <c r="AB116" s="152">
        <f>AE115</f>
        <v/>
      </c>
      <c r="AC116" s="159">
        <f>IF(AB116&gt;0.005,AB116*Debts!D14/12,0)</f>
        <v/>
      </c>
      <c r="AD116" s="159" t="n">
        <v>0</v>
      </c>
      <c r="AE116" s="152">
        <f>MAX(0,AB116+AC116-AD116)</f>
        <v/>
      </c>
      <c r="AF116" s="152">
        <f>AI115</f>
        <v/>
      </c>
      <c r="AG116" s="159">
        <f>IF(AF116&gt;0.005,AF116*Debts!D15/12,0)</f>
        <v/>
      </c>
      <c r="AH116" s="159" t="n">
        <v>0</v>
      </c>
      <c r="AI116" s="152">
        <f>MAX(0,AF116+AG116-AH116)</f>
        <v/>
      </c>
      <c r="AJ116" s="152">
        <f>AM115</f>
        <v/>
      </c>
      <c r="AK116" s="159">
        <f>IF(AJ116&gt;0.005,AJ116*Debts!D16/12,0)</f>
        <v/>
      </c>
      <c r="AL116" s="159" t="n">
        <v>0</v>
      </c>
      <c r="AM116" s="152">
        <f>MAX(0,AJ116+AK116-AL116)</f>
        <v/>
      </c>
      <c r="AN116" s="152">
        <f>AQ115</f>
        <v/>
      </c>
      <c r="AO116" s="159">
        <f>IF(AN116&gt;0.005,AN116*Debts!D17/12,0)</f>
        <v/>
      </c>
      <c r="AP116" s="159" t="n">
        <v>0</v>
      </c>
      <c r="AQ116" s="152">
        <f>MAX(0,AN116+AO116-AP116)</f>
        <v/>
      </c>
      <c r="AR116" s="152">
        <f>AU115</f>
        <v/>
      </c>
      <c r="AS116" s="159">
        <f>IF(AR116&gt;0.005,AR116*Debts!D18/12,0)</f>
        <v/>
      </c>
      <c r="AT116" s="159" t="n">
        <v>0</v>
      </c>
      <c r="AU116" s="152">
        <f>MAX(0,AR116+AS116-AT116)</f>
        <v/>
      </c>
      <c r="AV116" s="152">
        <f>AY115</f>
        <v/>
      </c>
      <c r="AW116" s="159">
        <f>IF(AV116&gt;0.005,AV116*Debts!D19/12,0)</f>
        <v/>
      </c>
      <c r="AX116" s="159" t="n">
        <v>0</v>
      </c>
      <c r="AY116" s="152">
        <f>MAX(0,AV116+AW116-AX116)</f>
        <v/>
      </c>
      <c r="AZ116" s="152">
        <f>BC115</f>
        <v/>
      </c>
      <c r="BA116" s="159">
        <f>IF(AZ116&gt;0.005,AZ116*Debts!D20/12,0)</f>
        <v/>
      </c>
      <c r="BB116" s="159" t="n">
        <v>0</v>
      </c>
      <c r="BC116" s="152">
        <f>MAX(0,AZ116+BA116-BB116)</f>
        <v/>
      </c>
      <c r="BD116" s="152">
        <f>BG115</f>
        <v/>
      </c>
      <c r="BE116" s="159">
        <f>IF(BD116&gt;0.005,BD116*Debts!D21/12,0)</f>
        <v/>
      </c>
      <c r="BF116" s="159" t="n">
        <v>0</v>
      </c>
      <c r="BG116" s="152">
        <f>MAX(0,BD116+BE116-BF116)</f>
        <v/>
      </c>
      <c r="BH116" s="152">
        <f>BK115</f>
        <v/>
      </c>
      <c r="BI116" s="159">
        <f>IF(BH116&gt;0.005,BH116*Debts!D22/12,0)</f>
        <v/>
      </c>
      <c r="BJ116" s="159" t="n">
        <v>0</v>
      </c>
      <c r="BK116" s="152">
        <f>MAX(0,BH116+BI116-BJ116)</f>
        <v/>
      </c>
      <c r="BL116" s="152">
        <f>BO115</f>
        <v/>
      </c>
      <c r="BM116" s="159">
        <f>IF(BL116&gt;0.005,BL116*Debts!D23/12,0)</f>
        <v/>
      </c>
      <c r="BN116" s="159" t="n">
        <v>0</v>
      </c>
      <c r="BO116" s="152">
        <f>MAX(0,BL116+BM116-BN116)</f>
        <v/>
      </c>
      <c r="BP116" s="152">
        <f>BS115</f>
        <v/>
      </c>
      <c r="BQ116" s="159">
        <f>IF(BP116&gt;0.005,BP116*Debts!D24/12,0)</f>
        <v/>
      </c>
      <c r="BR116" s="159" t="n">
        <v>0</v>
      </c>
      <c r="BS116" s="152">
        <f>MAX(0,BP116+BQ116-BR116)</f>
        <v/>
      </c>
      <c r="BT116" s="152">
        <f>BW115</f>
        <v/>
      </c>
      <c r="BU116" s="159">
        <f>IF(BT116&gt;0.005,BT116*Debts!D25/12,0)</f>
        <v/>
      </c>
      <c r="BV116" s="159" t="n">
        <v>0</v>
      </c>
      <c r="BW116" s="152">
        <f>MAX(0,BT116+BU116-BV116)</f>
        <v/>
      </c>
      <c r="BX116" s="152">
        <f>CA115</f>
        <v/>
      </c>
      <c r="BY116" s="159">
        <f>IF(BX116&gt;0.005,BX116*Debts!D26/12,0)</f>
        <v/>
      </c>
      <c r="BZ116" s="159" t="n">
        <v>0</v>
      </c>
      <c r="CA116" s="152">
        <f>MAX(0,BX116+BY116-BZ116)</f>
        <v/>
      </c>
      <c r="CB116" s="152">
        <f>CE115</f>
        <v/>
      </c>
      <c r="CC116" s="159">
        <f>IF(CB116&gt;0.005,CB116*Debts!D27/12,0)</f>
        <v/>
      </c>
      <c r="CD116" s="159" t="n">
        <v>0</v>
      </c>
      <c r="CE116" s="152">
        <f>MAX(0,CB116+CC116-CD116)</f>
        <v/>
      </c>
      <c r="CF116" s="152">
        <f>G116+K116+O116+S116+W116+AA116+AE116+AI116+AM116+AQ116+AU116+AY116+BC116+BG116+BK116+BO116+BS116+BW116+CA116+CE116</f>
        <v/>
      </c>
      <c r="CG116" s="159">
        <f>E116+I116+M116+Q116+U116+Y116+AC116+AG116+AK116+AO116+AS116+AW116+BA116+BE116+BI116+BM116+BQ116+BU116+BY116+CC116</f>
        <v/>
      </c>
      <c r="CH116" s="152">
        <f>CH115+CG116</f>
        <v/>
      </c>
      <c r="CI116" s="148" t="n"/>
      <c r="CJ116" s="148" t="n"/>
    </row>
    <row r="117" ht="15" customHeight="1" s="83">
      <c r="A117" s="148" t="n"/>
      <c r="B117" s="158" t="n">
        <v>113</v>
      </c>
      <c r="C117" s="152">
        <f>F117+J117+N117+R117+V117+Z117+AD117+AH117+AL117+AP117+AT117+AX117+BB117+BF117+BJ117+BN117+BR117+BV117+BZ117+CD117</f>
        <v/>
      </c>
      <c r="D117" s="152">
        <f>G116</f>
        <v/>
      </c>
      <c r="E117" s="159">
        <f>IF(D117&gt;0.005,D117*Debts!D8/12,0)</f>
        <v/>
      </c>
      <c r="F117" s="159" t="n">
        <v>0</v>
      </c>
      <c r="G117" s="152">
        <f>MAX(0,D117+E117-F117)</f>
        <v/>
      </c>
      <c r="H117" s="152">
        <f>K116</f>
        <v/>
      </c>
      <c r="I117" s="159">
        <f>IF(H117&gt;0.005,H117*Debts!D9/12,0)</f>
        <v/>
      </c>
      <c r="J117" s="159" t="n">
        <v>0</v>
      </c>
      <c r="K117" s="152">
        <f>MAX(0,H117+I117-J117)</f>
        <v/>
      </c>
      <c r="L117" s="152">
        <f>O116</f>
        <v/>
      </c>
      <c r="M117" s="159">
        <f>IF(L117&gt;0.005,L117*Debts!D10/12,0)</f>
        <v/>
      </c>
      <c r="N117" s="159" t="n">
        <v>0</v>
      </c>
      <c r="O117" s="152">
        <f>MAX(0,L117+M117-N117)</f>
        <v/>
      </c>
      <c r="P117" s="152">
        <f>S116</f>
        <v/>
      </c>
      <c r="Q117" s="159">
        <f>IF(P117&gt;0.005,P117*Debts!D11/12,0)</f>
        <v/>
      </c>
      <c r="R117" s="159" t="n">
        <v>0</v>
      </c>
      <c r="S117" s="152">
        <f>MAX(0,P117+Q117-R117)</f>
        <v/>
      </c>
      <c r="T117" s="152">
        <f>W116</f>
        <v/>
      </c>
      <c r="U117" s="159">
        <f>IF(T117&gt;0.005,T117*Debts!D12/12,0)</f>
        <v/>
      </c>
      <c r="V117" s="159" t="n">
        <v>0</v>
      </c>
      <c r="W117" s="152">
        <f>MAX(0,T117+U117-V117)</f>
        <v/>
      </c>
      <c r="X117" s="152">
        <f>AA116</f>
        <v/>
      </c>
      <c r="Y117" s="159">
        <f>IF(X117&gt;0.005,X117*Debts!D13/12,0)</f>
        <v/>
      </c>
      <c r="Z117" s="159" t="n">
        <v>0</v>
      </c>
      <c r="AA117" s="152">
        <f>MAX(0,X117+Y117-Z117)</f>
        <v/>
      </c>
      <c r="AB117" s="152">
        <f>AE116</f>
        <v/>
      </c>
      <c r="AC117" s="159">
        <f>IF(AB117&gt;0.005,AB117*Debts!D14/12,0)</f>
        <v/>
      </c>
      <c r="AD117" s="159" t="n">
        <v>0</v>
      </c>
      <c r="AE117" s="152">
        <f>MAX(0,AB117+AC117-AD117)</f>
        <v/>
      </c>
      <c r="AF117" s="152">
        <f>AI116</f>
        <v/>
      </c>
      <c r="AG117" s="159">
        <f>IF(AF117&gt;0.005,AF117*Debts!D15/12,0)</f>
        <v/>
      </c>
      <c r="AH117" s="159" t="n">
        <v>0</v>
      </c>
      <c r="AI117" s="152">
        <f>MAX(0,AF117+AG117-AH117)</f>
        <v/>
      </c>
      <c r="AJ117" s="152">
        <f>AM116</f>
        <v/>
      </c>
      <c r="AK117" s="159">
        <f>IF(AJ117&gt;0.005,AJ117*Debts!D16/12,0)</f>
        <v/>
      </c>
      <c r="AL117" s="159" t="n">
        <v>0</v>
      </c>
      <c r="AM117" s="152">
        <f>MAX(0,AJ117+AK117-AL117)</f>
        <v/>
      </c>
      <c r="AN117" s="152">
        <f>AQ116</f>
        <v/>
      </c>
      <c r="AO117" s="159">
        <f>IF(AN117&gt;0.005,AN117*Debts!D17/12,0)</f>
        <v/>
      </c>
      <c r="AP117" s="159" t="n">
        <v>0</v>
      </c>
      <c r="AQ117" s="152">
        <f>MAX(0,AN117+AO117-AP117)</f>
        <v/>
      </c>
      <c r="AR117" s="152">
        <f>AU116</f>
        <v/>
      </c>
      <c r="AS117" s="159">
        <f>IF(AR117&gt;0.005,AR117*Debts!D18/12,0)</f>
        <v/>
      </c>
      <c r="AT117" s="159" t="n">
        <v>0</v>
      </c>
      <c r="AU117" s="152">
        <f>MAX(0,AR117+AS117-AT117)</f>
        <v/>
      </c>
      <c r="AV117" s="152">
        <f>AY116</f>
        <v/>
      </c>
      <c r="AW117" s="159">
        <f>IF(AV117&gt;0.005,AV117*Debts!D19/12,0)</f>
        <v/>
      </c>
      <c r="AX117" s="159" t="n">
        <v>0</v>
      </c>
      <c r="AY117" s="152">
        <f>MAX(0,AV117+AW117-AX117)</f>
        <v/>
      </c>
      <c r="AZ117" s="152">
        <f>BC116</f>
        <v/>
      </c>
      <c r="BA117" s="159">
        <f>IF(AZ117&gt;0.005,AZ117*Debts!D20/12,0)</f>
        <v/>
      </c>
      <c r="BB117" s="159" t="n">
        <v>0</v>
      </c>
      <c r="BC117" s="152">
        <f>MAX(0,AZ117+BA117-BB117)</f>
        <v/>
      </c>
      <c r="BD117" s="152">
        <f>BG116</f>
        <v/>
      </c>
      <c r="BE117" s="159">
        <f>IF(BD117&gt;0.005,BD117*Debts!D21/12,0)</f>
        <v/>
      </c>
      <c r="BF117" s="159" t="n">
        <v>0</v>
      </c>
      <c r="BG117" s="152">
        <f>MAX(0,BD117+BE117-BF117)</f>
        <v/>
      </c>
      <c r="BH117" s="152">
        <f>BK116</f>
        <v/>
      </c>
      <c r="BI117" s="159">
        <f>IF(BH117&gt;0.005,BH117*Debts!D22/12,0)</f>
        <v/>
      </c>
      <c r="BJ117" s="159" t="n">
        <v>0</v>
      </c>
      <c r="BK117" s="152">
        <f>MAX(0,BH117+BI117-BJ117)</f>
        <v/>
      </c>
      <c r="BL117" s="152">
        <f>BO116</f>
        <v/>
      </c>
      <c r="BM117" s="159">
        <f>IF(BL117&gt;0.005,BL117*Debts!D23/12,0)</f>
        <v/>
      </c>
      <c r="BN117" s="159" t="n">
        <v>0</v>
      </c>
      <c r="BO117" s="152">
        <f>MAX(0,BL117+BM117-BN117)</f>
        <v/>
      </c>
      <c r="BP117" s="152">
        <f>BS116</f>
        <v/>
      </c>
      <c r="BQ117" s="159">
        <f>IF(BP117&gt;0.005,BP117*Debts!D24/12,0)</f>
        <v/>
      </c>
      <c r="BR117" s="159" t="n">
        <v>0</v>
      </c>
      <c r="BS117" s="152">
        <f>MAX(0,BP117+BQ117-BR117)</f>
        <v/>
      </c>
      <c r="BT117" s="152">
        <f>BW116</f>
        <v/>
      </c>
      <c r="BU117" s="159">
        <f>IF(BT117&gt;0.005,BT117*Debts!D25/12,0)</f>
        <v/>
      </c>
      <c r="BV117" s="159" t="n">
        <v>0</v>
      </c>
      <c r="BW117" s="152">
        <f>MAX(0,BT117+BU117-BV117)</f>
        <v/>
      </c>
      <c r="BX117" s="152">
        <f>CA116</f>
        <v/>
      </c>
      <c r="BY117" s="159">
        <f>IF(BX117&gt;0.005,BX117*Debts!D26/12,0)</f>
        <v/>
      </c>
      <c r="BZ117" s="159" t="n">
        <v>0</v>
      </c>
      <c r="CA117" s="152">
        <f>MAX(0,BX117+BY117-BZ117)</f>
        <v/>
      </c>
      <c r="CB117" s="152">
        <f>CE116</f>
        <v/>
      </c>
      <c r="CC117" s="159">
        <f>IF(CB117&gt;0.005,CB117*Debts!D27/12,0)</f>
        <v/>
      </c>
      <c r="CD117" s="159" t="n">
        <v>0</v>
      </c>
      <c r="CE117" s="152">
        <f>MAX(0,CB117+CC117-CD117)</f>
        <v/>
      </c>
      <c r="CF117" s="152">
        <f>G117+K117+O117+S117+W117+AA117+AE117+AI117+AM117+AQ117+AU117+AY117+BC117+BG117+BK117+BO117+BS117+BW117+CA117+CE117</f>
        <v/>
      </c>
      <c r="CG117" s="159">
        <f>E117+I117+M117+Q117+U117+Y117+AC117+AG117+AK117+AO117+AS117+AW117+BA117+BE117+BI117+BM117+BQ117+BU117+BY117+CC117</f>
        <v/>
      </c>
      <c r="CH117" s="152">
        <f>CH116+CG117</f>
        <v/>
      </c>
      <c r="CI117" s="148" t="n"/>
      <c r="CJ117" s="148" t="n"/>
    </row>
    <row r="118" ht="15" customHeight="1" s="83">
      <c r="A118" s="148" t="n"/>
      <c r="B118" s="158" t="n">
        <v>114</v>
      </c>
      <c r="C118" s="152">
        <f>F118+J118+N118+R118+V118+Z118+AD118+AH118+AL118+AP118+AT118+AX118+BB118+BF118+BJ118+BN118+BR118+BV118+BZ118+CD118</f>
        <v/>
      </c>
      <c r="D118" s="152">
        <f>G117</f>
        <v/>
      </c>
      <c r="E118" s="159">
        <f>IF(D118&gt;0.005,D118*Debts!D8/12,0)</f>
        <v/>
      </c>
      <c r="F118" s="159" t="n">
        <v>0</v>
      </c>
      <c r="G118" s="152">
        <f>MAX(0,D118+E118-F118)</f>
        <v/>
      </c>
      <c r="H118" s="152">
        <f>K117</f>
        <v/>
      </c>
      <c r="I118" s="159">
        <f>IF(H118&gt;0.005,H118*Debts!D9/12,0)</f>
        <v/>
      </c>
      <c r="J118" s="159" t="n">
        <v>0</v>
      </c>
      <c r="K118" s="152">
        <f>MAX(0,H118+I118-J118)</f>
        <v/>
      </c>
      <c r="L118" s="152">
        <f>O117</f>
        <v/>
      </c>
      <c r="M118" s="159">
        <f>IF(L118&gt;0.005,L118*Debts!D10/12,0)</f>
        <v/>
      </c>
      <c r="N118" s="159" t="n">
        <v>0</v>
      </c>
      <c r="O118" s="152">
        <f>MAX(0,L118+M118-N118)</f>
        <v/>
      </c>
      <c r="P118" s="152">
        <f>S117</f>
        <v/>
      </c>
      <c r="Q118" s="159">
        <f>IF(P118&gt;0.005,P118*Debts!D11/12,0)</f>
        <v/>
      </c>
      <c r="R118" s="159" t="n">
        <v>0</v>
      </c>
      <c r="S118" s="152">
        <f>MAX(0,P118+Q118-R118)</f>
        <v/>
      </c>
      <c r="T118" s="152">
        <f>W117</f>
        <v/>
      </c>
      <c r="U118" s="159">
        <f>IF(T118&gt;0.005,T118*Debts!D12/12,0)</f>
        <v/>
      </c>
      <c r="V118" s="159" t="n">
        <v>0</v>
      </c>
      <c r="W118" s="152">
        <f>MAX(0,T118+U118-V118)</f>
        <v/>
      </c>
      <c r="X118" s="152">
        <f>AA117</f>
        <v/>
      </c>
      <c r="Y118" s="159">
        <f>IF(X118&gt;0.005,X118*Debts!D13/12,0)</f>
        <v/>
      </c>
      <c r="Z118" s="159" t="n">
        <v>0</v>
      </c>
      <c r="AA118" s="152">
        <f>MAX(0,X118+Y118-Z118)</f>
        <v/>
      </c>
      <c r="AB118" s="152">
        <f>AE117</f>
        <v/>
      </c>
      <c r="AC118" s="159">
        <f>IF(AB118&gt;0.005,AB118*Debts!D14/12,0)</f>
        <v/>
      </c>
      <c r="AD118" s="159" t="n">
        <v>0</v>
      </c>
      <c r="AE118" s="152">
        <f>MAX(0,AB118+AC118-AD118)</f>
        <v/>
      </c>
      <c r="AF118" s="152">
        <f>AI117</f>
        <v/>
      </c>
      <c r="AG118" s="159">
        <f>IF(AF118&gt;0.005,AF118*Debts!D15/12,0)</f>
        <v/>
      </c>
      <c r="AH118" s="159" t="n">
        <v>0</v>
      </c>
      <c r="AI118" s="152">
        <f>MAX(0,AF118+AG118-AH118)</f>
        <v/>
      </c>
      <c r="AJ118" s="152">
        <f>AM117</f>
        <v/>
      </c>
      <c r="AK118" s="159">
        <f>IF(AJ118&gt;0.005,AJ118*Debts!D16/12,0)</f>
        <v/>
      </c>
      <c r="AL118" s="159" t="n">
        <v>0</v>
      </c>
      <c r="AM118" s="152">
        <f>MAX(0,AJ118+AK118-AL118)</f>
        <v/>
      </c>
      <c r="AN118" s="152">
        <f>AQ117</f>
        <v/>
      </c>
      <c r="AO118" s="159">
        <f>IF(AN118&gt;0.005,AN118*Debts!D17/12,0)</f>
        <v/>
      </c>
      <c r="AP118" s="159" t="n">
        <v>0</v>
      </c>
      <c r="AQ118" s="152">
        <f>MAX(0,AN118+AO118-AP118)</f>
        <v/>
      </c>
      <c r="AR118" s="152">
        <f>AU117</f>
        <v/>
      </c>
      <c r="AS118" s="159">
        <f>IF(AR118&gt;0.005,AR118*Debts!D18/12,0)</f>
        <v/>
      </c>
      <c r="AT118" s="159" t="n">
        <v>0</v>
      </c>
      <c r="AU118" s="152">
        <f>MAX(0,AR118+AS118-AT118)</f>
        <v/>
      </c>
      <c r="AV118" s="152">
        <f>AY117</f>
        <v/>
      </c>
      <c r="AW118" s="159">
        <f>IF(AV118&gt;0.005,AV118*Debts!D19/12,0)</f>
        <v/>
      </c>
      <c r="AX118" s="159" t="n">
        <v>0</v>
      </c>
      <c r="AY118" s="152">
        <f>MAX(0,AV118+AW118-AX118)</f>
        <v/>
      </c>
      <c r="AZ118" s="152">
        <f>BC117</f>
        <v/>
      </c>
      <c r="BA118" s="159">
        <f>IF(AZ118&gt;0.005,AZ118*Debts!D20/12,0)</f>
        <v/>
      </c>
      <c r="BB118" s="159" t="n">
        <v>0</v>
      </c>
      <c r="BC118" s="152">
        <f>MAX(0,AZ118+BA118-BB118)</f>
        <v/>
      </c>
      <c r="BD118" s="152">
        <f>BG117</f>
        <v/>
      </c>
      <c r="BE118" s="159">
        <f>IF(BD118&gt;0.005,BD118*Debts!D21/12,0)</f>
        <v/>
      </c>
      <c r="BF118" s="159" t="n">
        <v>0</v>
      </c>
      <c r="BG118" s="152">
        <f>MAX(0,BD118+BE118-BF118)</f>
        <v/>
      </c>
      <c r="BH118" s="152">
        <f>BK117</f>
        <v/>
      </c>
      <c r="BI118" s="159">
        <f>IF(BH118&gt;0.005,BH118*Debts!D22/12,0)</f>
        <v/>
      </c>
      <c r="BJ118" s="159" t="n">
        <v>0</v>
      </c>
      <c r="BK118" s="152">
        <f>MAX(0,BH118+BI118-BJ118)</f>
        <v/>
      </c>
      <c r="BL118" s="152">
        <f>BO117</f>
        <v/>
      </c>
      <c r="BM118" s="159">
        <f>IF(BL118&gt;0.005,BL118*Debts!D23/12,0)</f>
        <v/>
      </c>
      <c r="BN118" s="159" t="n">
        <v>0</v>
      </c>
      <c r="BO118" s="152">
        <f>MAX(0,BL118+BM118-BN118)</f>
        <v/>
      </c>
      <c r="BP118" s="152">
        <f>BS117</f>
        <v/>
      </c>
      <c r="BQ118" s="159">
        <f>IF(BP118&gt;0.005,BP118*Debts!D24/12,0)</f>
        <v/>
      </c>
      <c r="BR118" s="159" t="n">
        <v>0</v>
      </c>
      <c r="BS118" s="152">
        <f>MAX(0,BP118+BQ118-BR118)</f>
        <v/>
      </c>
      <c r="BT118" s="152">
        <f>BW117</f>
        <v/>
      </c>
      <c r="BU118" s="159">
        <f>IF(BT118&gt;0.005,BT118*Debts!D25/12,0)</f>
        <v/>
      </c>
      <c r="BV118" s="159" t="n">
        <v>0</v>
      </c>
      <c r="BW118" s="152">
        <f>MAX(0,BT118+BU118-BV118)</f>
        <v/>
      </c>
      <c r="BX118" s="152">
        <f>CA117</f>
        <v/>
      </c>
      <c r="BY118" s="159">
        <f>IF(BX118&gt;0.005,BX118*Debts!D26/12,0)</f>
        <v/>
      </c>
      <c r="BZ118" s="159" t="n">
        <v>0</v>
      </c>
      <c r="CA118" s="152">
        <f>MAX(0,BX118+BY118-BZ118)</f>
        <v/>
      </c>
      <c r="CB118" s="152">
        <f>CE117</f>
        <v/>
      </c>
      <c r="CC118" s="159">
        <f>IF(CB118&gt;0.005,CB118*Debts!D27/12,0)</f>
        <v/>
      </c>
      <c r="CD118" s="159" t="n">
        <v>0</v>
      </c>
      <c r="CE118" s="152">
        <f>MAX(0,CB118+CC118-CD118)</f>
        <v/>
      </c>
      <c r="CF118" s="152">
        <f>G118+K118+O118+S118+W118+AA118+AE118+AI118+AM118+AQ118+AU118+AY118+BC118+BG118+BK118+BO118+BS118+BW118+CA118+CE118</f>
        <v/>
      </c>
      <c r="CG118" s="159">
        <f>E118+I118+M118+Q118+U118+Y118+AC118+AG118+AK118+AO118+AS118+AW118+BA118+BE118+BI118+BM118+BQ118+BU118+BY118+CC118</f>
        <v/>
      </c>
      <c r="CH118" s="152">
        <f>CH117+CG118</f>
        <v/>
      </c>
      <c r="CI118" s="148" t="n"/>
      <c r="CJ118" s="148" t="n"/>
    </row>
    <row r="119" ht="15" customHeight="1" s="83">
      <c r="A119" s="148" t="n"/>
      <c r="B119" s="158" t="n">
        <v>115</v>
      </c>
      <c r="C119" s="152">
        <f>F119+J119+N119+R119+V119+Z119+AD119+AH119+AL119+AP119+AT119+AX119+BB119+BF119+BJ119+BN119+BR119+BV119+BZ119+CD119</f>
        <v/>
      </c>
      <c r="D119" s="152">
        <f>G118</f>
        <v/>
      </c>
      <c r="E119" s="159">
        <f>IF(D119&gt;0.005,D119*Debts!D8/12,0)</f>
        <v/>
      </c>
      <c r="F119" s="159" t="n">
        <v>0</v>
      </c>
      <c r="G119" s="152">
        <f>MAX(0,D119+E119-F119)</f>
        <v/>
      </c>
      <c r="H119" s="152">
        <f>K118</f>
        <v/>
      </c>
      <c r="I119" s="159">
        <f>IF(H119&gt;0.005,H119*Debts!D9/12,0)</f>
        <v/>
      </c>
      <c r="J119" s="159" t="n">
        <v>0</v>
      </c>
      <c r="K119" s="152">
        <f>MAX(0,H119+I119-J119)</f>
        <v/>
      </c>
      <c r="L119" s="152">
        <f>O118</f>
        <v/>
      </c>
      <c r="M119" s="159">
        <f>IF(L119&gt;0.005,L119*Debts!D10/12,0)</f>
        <v/>
      </c>
      <c r="N119" s="159" t="n">
        <v>0</v>
      </c>
      <c r="O119" s="152">
        <f>MAX(0,L119+M119-N119)</f>
        <v/>
      </c>
      <c r="P119" s="152">
        <f>S118</f>
        <v/>
      </c>
      <c r="Q119" s="159">
        <f>IF(P119&gt;0.005,P119*Debts!D11/12,0)</f>
        <v/>
      </c>
      <c r="R119" s="159" t="n">
        <v>0</v>
      </c>
      <c r="S119" s="152">
        <f>MAX(0,P119+Q119-R119)</f>
        <v/>
      </c>
      <c r="T119" s="152">
        <f>W118</f>
        <v/>
      </c>
      <c r="U119" s="159">
        <f>IF(T119&gt;0.005,T119*Debts!D12/12,0)</f>
        <v/>
      </c>
      <c r="V119" s="159" t="n">
        <v>0</v>
      </c>
      <c r="W119" s="152">
        <f>MAX(0,T119+U119-V119)</f>
        <v/>
      </c>
      <c r="X119" s="152">
        <f>AA118</f>
        <v/>
      </c>
      <c r="Y119" s="159">
        <f>IF(X119&gt;0.005,X119*Debts!D13/12,0)</f>
        <v/>
      </c>
      <c r="Z119" s="159" t="n">
        <v>0</v>
      </c>
      <c r="AA119" s="152">
        <f>MAX(0,X119+Y119-Z119)</f>
        <v/>
      </c>
      <c r="AB119" s="152">
        <f>AE118</f>
        <v/>
      </c>
      <c r="AC119" s="159">
        <f>IF(AB119&gt;0.005,AB119*Debts!D14/12,0)</f>
        <v/>
      </c>
      <c r="AD119" s="159" t="n">
        <v>0</v>
      </c>
      <c r="AE119" s="152">
        <f>MAX(0,AB119+AC119-AD119)</f>
        <v/>
      </c>
      <c r="AF119" s="152">
        <f>AI118</f>
        <v/>
      </c>
      <c r="AG119" s="159">
        <f>IF(AF119&gt;0.005,AF119*Debts!D15/12,0)</f>
        <v/>
      </c>
      <c r="AH119" s="159" t="n">
        <v>0</v>
      </c>
      <c r="AI119" s="152">
        <f>MAX(0,AF119+AG119-AH119)</f>
        <v/>
      </c>
      <c r="AJ119" s="152">
        <f>AM118</f>
        <v/>
      </c>
      <c r="AK119" s="159">
        <f>IF(AJ119&gt;0.005,AJ119*Debts!D16/12,0)</f>
        <v/>
      </c>
      <c r="AL119" s="159" t="n">
        <v>0</v>
      </c>
      <c r="AM119" s="152">
        <f>MAX(0,AJ119+AK119-AL119)</f>
        <v/>
      </c>
      <c r="AN119" s="152">
        <f>AQ118</f>
        <v/>
      </c>
      <c r="AO119" s="159">
        <f>IF(AN119&gt;0.005,AN119*Debts!D17/12,0)</f>
        <v/>
      </c>
      <c r="AP119" s="159" t="n">
        <v>0</v>
      </c>
      <c r="AQ119" s="152">
        <f>MAX(0,AN119+AO119-AP119)</f>
        <v/>
      </c>
      <c r="AR119" s="152">
        <f>AU118</f>
        <v/>
      </c>
      <c r="AS119" s="159">
        <f>IF(AR119&gt;0.005,AR119*Debts!D18/12,0)</f>
        <v/>
      </c>
      <c r="AT119" s="159" t="n">
        <v>0</v>
      </c>
      <c r="AU119" s="152">
        <f>MAX(0,AR119+AS119-AT119)</f>
        <v/>
      </c>
      <c r="AV119" s="152">
        <f>AY118</f>
        <v/>
      </c>
      <c r="AW119" s="159">
        <f>IF(AV119&gt;0.005,AV119*Debts!D19/12,0)</f>
        <v/>
      </c>
      <c r="AX119" s="159" t="n">
        <v>0</v>
      </c>
      <c r="AY119" s="152">
        <f>MAX(0,AV119+AW119-AX119)</f>
        <v/>
      </c>
      <c r="AZ119" s="152">
        <f>BC118</f>
        <v/>
      </c>
      <c r="BA119" s="159">
        <f>IF(AZ119&gt;0.005,AZ119*Debts!D20/12,0)</f>
        <v/>
      </c>
      <c r="BB119" s="159" t="n">
        <v>0</v>
      </c>
      <c r="BC119" s="152">
        <f>MAX(0,AZ119+BA119-BB119)</f>
        <v/>
      </c>
      <c r="BD119" s="152">
        <f>BG118</f>
        <v/>
      </c>
      <c r="BE119" s="159">
        <f>IF(BD119&gt;0.005,BD119*Debts!D21/12,0)</f>
        <v/>
      </c>
      <c r="BF119" s="159" t="n">
        <v>0</v>
      </c>
      <c r="BG119" s="152">
        <f>MAX(0,BD119+BE119-BF119)</f>
        <v/>
      </c>
      <c r="BH119" s="152">
        <f>BK118</f>
        <v/>
      </c>
      <c r="BI119" s="159">
        <f>IF(BH119&gt;0.005,BH119*Debts!D22/12,0)</f>
        <v/>
      </c>
      <c r="BJ119" s="159" t="n">
        <v>0</v>
      </c>
      <c r="BK119" s="152">
        <f>MAX(0,BH119+BI119-BJ119)</f>
        <v/>
      </c>
      <c r="BL119" s="152">
        <f>BO118</f>
        <v/>
      </c>
      <c r="BM119" s="159">
        <f>IF(BL119&gt;0.005,BL119*Debts!D23/12,0)</f>
        <v/>
      </c>
      <c r="BN119" s="159" t="n">
        <v>0</v>
      </c>
      <c r="BO119" s="152">
        <f>MAX(0,BL119+BM119-BN119)</f>
        <v/>
      </c>
      <c r="BP119" s="152">
        <f>BS118</f>
        <v/>
      </c>
      <c r="BQ119" s="159">
        <f>IF(BP119&gt;0.005,BP119*Debts!D24/12,0)</f>
        <v/>
      </c>
      <c r="BR119" s="159" t="n">
        <v>0</v>
      </c>
      <c r="BS119" s="152">
        <f>MAX(0,BP119+BQ119-BR119)</f>
        <v/>
      </c>
      <c r="BT119" s="152">
        <f>BW118</f>
        <v/>
      </c>
      <c r="BU119" s="159">
        <f>IF(BT119&gt;0.005,BT119*Debts!D25/12,0)</f>
        <v/>
      </c>
      <c r="BV119" s="159" t="n">
        <v>0</v>
      </c>
      <c r="BW119" s="152">
        <f>MAX(0,BT119+BU119-BV119)</f>
        <v/>
      </c>
      <c r="BX119" s="152">
        <f>CA118</f>
        <v/>
      </c>
      <c r="BY119" s="159">
        <f>IF(BX119&gt;0.005,BX119*Debts!D26/12,0)</f>
        <v/>
      </c>
      <c r="BZ119" s="159" t="n">
        <v>0</v>
      </c>
      <c r="CA119" s="152">
        <f>MAX(0,BX119+BY119-BZ119)</f>
        <v/>
      </c>
      <c r="CB119" s="152">
        <f>CE118</f>
        <v/>
      </c>
      <c r="CC119" s="159">
        <f>IF(CB119&gt;0.005,CB119*Debts!D27/12,0)</f>
        <v/>
      </c>
      <c r="CD119" s="159" t="n">
        <v>0</v>
      </c>
      <c r="CE119" s="152">
        <f>MAX(0,CB119+CC119-CD119)</f>
        <v/>
      </c>
      <c r="CF119" s="152">
        <f>G119+K119+O119+S119+W119+AA119+AE119+AI119+AM119+AQ119+AU119+AY119+BC119+BG119+BK119+BO119+BS119+BW119+CA119+CE119</f>
        <v/>
      </c>
      <c r="CG119" s="159">
        <f>E119+I119+M119+Q119+U119+Y119+AC119+AG119+AK119+AO119+AS119+AW119+BA119+BE119+BI119+BM119+BQ119+BU119+BY119+CC119</f>
        <v/>
      </c>
      <c r="CH119" s="152">
        <f>CH118+CG119</f>
        <v/>
      </c>
      <c r="CI119" s="148" t="n"/>
      <c r="CJ119" s="148" t="n"/>
    </row>
    <row r="120" ht="15" customHeight="1" s="83">
      <c r="A120" s="148" t="n"/>
      <c r="B120" s="158" t="n">
        <v>116</v>
      </c>
      <c r="C120" s="152">
        <f>F120+J120+N120+R120+V120+Z120+AD120+AH120+AL120+AP120+AT120+AX120+BB120+BF120+BJ120+BN120+BR120+BV120+BZ120+CD120</f>
        <v/>
      </c>
      <c r="D120" s="152">
        <f>G119</f>
        <v/>
      </c>
      <c r="E120" s="159">
        <f>IF(D120&gt;0.005,D120*Debts!D8/12,0)</f>
        <v/>
      </c>
      <c r="F120" s="159" t="n">
        <v>0</v>
      </c>
      <c r="G120" s="152">
        <f>MAX(0,D120+E120-F120)</f>
        <v/>
      </c>
      <c r="H120" s="152">
        <f>K119</f>
        <v/>
      </c>
      <c r="I120" s="159">
        <f>IF(H120&gt;0.005,H120*Debts!D9/12,0)</f>
        <v/>
      </c>
      <c r="J120" s="159" t="n">
        <v>0</v>
      </c>
      <c r="K120" s="152">
        <f>MAX(0,H120+I120-J120)</f>
        <v/>
      </c>
      <c r="L120" s="152">
        <f>O119</f>
        <v/>
      </c>
      <c r="M120" s="159">
        <f>IF(L120&gt;0.005,L120*Debts!D10/12,0)</f>
        <v/>
      </c>
      <c r="N120" s="159" t="n">
        <v>0</v>
      </c>
      <c r="O120" s="152">
        <f>MAX(0,L120+M120-N120)</f>
        <v/>
      </c>
      <c r="P120" s="152">
        <f>S119</f>
        <v/>
      </c>
      <c r="Q120" s="159">
        <f>IF(P120&gt;0.005,P120*Debts!D11/12,0)</f>
        <v/>
      </c>
      <c r="R120" s="159" t="n">
        <v>0</v>
      </c>
      <c r="S120" s="152">
        <f>MAX(0,P120+Q120-R120)</f>
        <v/>
      </c>
      <c r="T120" s="152">
        <f>W119</f>
        <v/>
      </c>
      <c r="U120" s="159">
        <f>IF(T120&gt;0.005,T120*Debts!D12/12,0)</f>
        <v/>
      </c>
      <c r="V120" s="159" t="n">
        <v>0</v>
      </c>
      <c r="W120" s="152">
        <f>MAX(0,T120+U120-V120)</f>
        <v/>
      </c>
      <c r="X120" s="152">
        <f>AA119</f>
        <v/>
      </c>
      <c r="Y120" s="159">
        <f>IF(X120&gt;0.005,X120*Debts!D13/12,0)</f>
        <v/>
      </c>
      <c r="Z120" s="159" t="n">
        <v>0</v>
      </c>
      <c r="AA120" s="152">
        <f>MAX(0,X120+Y120-Z120)</f>
        <v/>
      </c>
      <c r="AB120" s="152">
        <f>AE119</f>
        <v/>
      </c>
      <c r="AC120" s="159">
        <f>IF(AB120&gt;0.005,AB120*Debts!D14/12,0)</f>
        <v/>
      </c>
      <c r="AD120" s="159" t="n">
        <v>0</v>
      </c>
      <c r="AE120" s="152">
        <f>MAX(0,AB120+AC120-AD120)</f>
        <v/>
      </c>
      <c r="AF120" s="152">
        <f>AI119</f>
        <v/>
      </c>
      <c r="AG120" s="159">
        <f>IF(AF120&gt;0.005,AF120*Debts!D15/12,0)</f>
        <v/>
      </c>
      <c r="AH120" s="159" t="n">
        <v>0</v>
      </c>
      <c r="AI120" s="152">
        <f>MAX(0,AF120+AG120-AH120)</f>
        <v/>
      </c>
      <c r="AJ120" s="152">
        <f>AM119</f>
        <v/>
      </c>
      <c r="AK120" s="159">
        <f>IF(AJ120&gt;0.005,AJ120*Debts!D16/12,0)</f>
        <v/>
      </c>
      <c r="AL120" s="159" t="n">
        <v>0</v>
      </c>
      <c r="AM120" s="152">
        <f>MAX(0,AJ120+AK120-AL120)</f>
        <v/>
      </c>
      <c r="AN120" s="152">
        <f>AQ119</f>
        <v/>
      </c>
      <c r="AO120" s="159">
        <f>IF(AN120&gt;0.005,AN120*Debts!D17/12,0)</f>
        <v/>
      </c>
      <c r="AP120" s="159" t="n">
        <v>0</v>
      </c>
      <c r="AQ120" s="152">
        <f>MAX(0,AN120+AO120-AP120)</f>
        <v/>
      </c>
      <c r="AR120" s="152">
        <f>AU119</f>
        <v/>
      </c>
      <c r="AS120" s="159">
        <f>IF(AR120&gt;0.005,AR120*Debts!D18/12,0)</f>
        <v/>
      </c>
      <c r="AT120" s="159" t="n">
        <v>0</v>
      </c>
      <c r="AU120" s="152">
        <f>MAX(0,AR120+AS120-AT120)</f>
        <v/>
      </c>
      <c r="AV120" s="152">
        <f>AY119</f>
        <v/>
      </c>
      <c r="AW120" s="159">
        <f>IF(AV120&gt;0.005,AV120*Debts!D19/12,0)</f>
        <v/>
      </c>
      <c r="AX120" s="159" t="n">
        <v>0</v>
      </c>
      <c r="AY120" s="152">
        <f>MAX(0,AV120+AW120-AX120)</f>
        <v/>
      </c>
      <c r="AZ120" s="152">
        <f>BC119</f>
        <v/>
      </c>
      <c r="BA120" s="159">
        <f>IF(AZ120&gt;0.005,AZ120*Debts!D20/12,0)</f>
        <v/>
      </c>
      <c r="BB120" s="159" t="n">
        <v>0</v>
      </c>
      <c r="BC120" s="152">
        <f>MAX(0,AZ120+BA120-BB120)</f>
        <v/>
      </c>
      <c r="BD120" s="152">
        <f>BG119</f>
        <v/>
      </c>
      <c r="BE120" s="159">
        <f>IF(BD120&gt;0.005,BD120*Debts!D21/12,0)</f>
        <v/>
      </c>
      <c r="BF120" s="159" t="n">
        <v>0</v>
      </c>
      <c r="BG120" s="152">
        <f>MAX(0,BD120+BE120-BF120)</f>
        <v/>
      </c>
      <c r="BH120" s="152">
        <f>BK119</f>
        <v/>
      </c>
      <c r="BI120" s="159">
        <f>IF(BH120&gt;0.005,BH120*Debts!D22/12,0)</f>
        <v/>
      </c>
      <c r="BJ120" s="159" t="n">
        <v>0</v>
      </c>
      <c r="BK120" s="152">
        <f>MAX(0,BH120+BI120-BJ120)</f>
        <v/>
      </c>
      <c r="BL120" s="152">
        <f>BO119</f>
        <v/>
      </c>
      <c r="BM120" s="159">
        <f>IF(BL120&gt;0.005,BL120*Debts!D23/12,0)</f>
        <v/>
      </c>
      <c r="BN120" s="159" t="n">
        <v>0</v>
      </c>
      <c r="BO120" s="152">
        <f>MAX(0,BL120+BM120-BN120)</f>
        <v/>
      </c>
      <c r="BP120" s="152">
        <f>BS119</f>
        <v/>
      </c>
      <c r="BQ120" s="159">
        <f>IF(BP120&gt;0.005,BP120*Debts!D24/12,0)</f>
        <v/>
      </c>
      <c r="BR120" s="159" t="n">
        <v>0</v>
      </c>
      <c r="BS120" s="152">
        <f>MAX(0,BP120+BQ120-BR120)</f>
        <v/>
      </c>
      <c r="BT120" s="152">
        <f>BW119</f>
        <v/>
      </c>
      <c r="BU120" s="159">
        <f>IF(BT120&gt;0.005,BT120*Debts!D25/12,0)</f>
        <v/>
      </c>
      <c r="BV120" s="159" t="n">
        <v>0</v>
      </c>
      <c r="BW120" s="152">
        <f>MAX(0,BT120+BU120-BV120)</f>
        <v/>
      </c>
      <c r="BX120" s="152">
        <f>CA119</f>
        <v/>
      </c>
      <c r="BY120" s="159">
        <f>IF(BX120&gt;0.005,BX120*Debts!D26/12,0)</f>
        <v/>
      </c>
      <c r="BZ120" s="159" t="n">
        <v>0</v>
      </c>
      <c r="CA120" s="152">
        <f>MAX(0,BX120+BY120-BZ120)</f>
        <v/>
      </c>
      <c r="CB120" s="152">
        <f>CE119</f>
        <v/>
      </c>
      <c r="CC120" s="159">
        <f>IF(CB120&gt;0.005,CB120*Debts!D27/12,0)</f>
        <v/>
      </c>
      <c r="CD120" s="159" t="n">
        <v>0</v>
      </c>
      <c r="CE120" s="152">
        <f>MAX(0,CB120+CC120-CD120)</f>
        <v/>
      </c>
      <c r="CF120" s="152">
        <f>G120+K120+O120+S120+W120+AA120+AE120+AI120+AM120+AQ120+AU120+AY120+BC120+BG120+BK120+BO120+BS120+BW120+CA120+CE120</f>
        <v/>
      </c>
      <c r="CG120" s="159">
        <f>E120+I120+M120+Q120+U120+Y120+AC120+AG120+AK120+AO120+AS120+AW120+BA120+BE120+BI120+BM120+BQ120+BU120+BY120+CC120</f>
        <v/>
      </c>
      <c r="CH120" s="152">
        <f>CH119+CG120</f>
        <v/>
      </c>
      <c r="CI120" s="148" t="n"/>
      <c r="CJ120" s="148" t="n"/>
    </row>
    <row r="121" ht="15" customHeight="1" s="83">
      <c r="A121" s="148" t="n"/>
      <c r="B121" s="158" t="n">
        <v>117</v>
      </c>
      <c r="C121" s="152">
        <f>F121+J121+N121+R121+V121+Z121+AD121+AH121+AL121+AP121+AT121+AX121+BB121+BF121+BJ121+BN121+BR121+BV121+BZ121+CD121</f>
        <v/>
      </c>
      <c r="D121" s="152">
        <f>G120</f>
        <v/>
      </c>
      <c r="E121" s="159">
        <f>IF(D121&gt;0.005,D121*Debts!D8/12,0)</f>
        <v/>
      </c>
      <c r="F121" s="159" t="n">
        <v>0</v>
      </c>
      <c r="G121" s="152">
        <f>MAX(0,D121+E121-F121)</f>
        <v/>
      </c>
      <c r="H121" s="152">
        <f>K120</f>
        <v/>
      </c>
      <c r="I121" s="159">
        <f>IF(H121&gt;0.005,H121*Debts!D9/12,0)</f>
        <v/>
      </c>
      <c r="J121" s="159" t="n">
        <v>0</v>
      </c>
      <c r="K121" s="152">
        <f>MAX(0,H121+I121-J121)</f>
        <v/>
      </c>
      <c r="L121" s="152">
        <f>O120</f>
        <v/>
      </c>
      <c r="M121" s="159">
        <f>IF(L121&gt;0.005,L121*Debts!D10/12,0)</f>
        <v/>
      </c>
      <c r="N121" s="159" t="n">
        <v>0</v>
      </c>
      <c r="O121" s="152">
        <f>MAX(0,L121+M121-N121)</f>
        <v/>
      </c>
      <c r="P121" s="152">
        <f>S120</f>
        <v/>
      </c>
      <c r="Q121" s="159">
        <f>IF(P121&gt;0.005,P121*Debts!D11/12,0)</f>
        <v/>
      </c>
      <c r="R121" s="159" t="n">
        <v>0</v>
      </c>
      <c r="S121" s="152">
        <f>MAX(0,P121+Q121-R121)</f>
        <v/>
      </c>
      <c r="T121" s="152">
        <f>W120</f>
        <v/>
      </c>
      <c r="U121" s="159">
        <f>IF(T121&gt;0.005,T121*Debts!D12/12,0)</f>
        <v/>
      </c>
      <c r="V121" s="159" t="n">
        <v>0</v>
      </c>
      <c r="W121" s="152">
        <f>MAX(0,T121+U121-V121)</f>
        <v/>
      </c>
      <c r="X121" s="152">
        <f>AA120</f>
        <v/>
      </c>
      <c r="Y121" s="159">
        <f>IF(X121&gt;0.005,X121*Debts!D13/12,0)</f>
        <v/>
      </c>
      <c r="Z121" s="159" t="n">
        <v>0</v>
      </c>
      <c r="AA121" s="152">
        <f>MAX(0,X121+Y121-Z121)</f>
        <v/>
      </c>
      <c r="AB121" s="152">
        <f>AE120</f>
        <v/>
      </c>
      <c r="AC121" s="159">
        <f>IF(AB121&gt;0.005,AB121*Debts!D14/12,0)</f>
        <v/>
      </c>
      <c r="AD121" s="159" t="n">
        <v>0</v>
      </c>
      <c r="AE121" s="152">
        <f>MAX(0,AB121+AC121-AD121)</f>
        <v/>
      </c>
      <c r="AF121" s="152">
        <f>AI120</f>
        <v/>
      </c>
      <c r="AG121" s="159">
        <f>IF(AF121&gt;0.005,AF121*Debts!D15/12,0)</f>
        <v/>
      </c>
      <c r="AH121" s="159" t="n">
        <v>0</v>
      </c>
      <c r="AI121" s="152">
        <f>MAX(0,AF121+AG121-AH121)</f>
        <v/>
      </c>
      <c r="AJ121" s="152">
        <f>AM120</f>
        <v/>
      </c>
      <c r="AK121" s="159">
        <f>IF(AJ121&gt;0.005,AJ121*Debts!D16/12,0)</f>
        <v/>
      </c>
      <c r="AL121" s="159" t="n">
        <v>0</v>
      </c>
      <c r="AM121" s="152">
        <f>MAX(0,AJ121+AK121-AL121)</f>
        <v/>
      </c>
      <c r="AN121" s="152">
        <f>AQ120</f>
        <v/>
      </c>
      <c r="AO121" s="159">
        <f>IF(AN121&gt;0.005,AN121*Debts!D17/12,0)</f>
        <v/>
      </c>
      <c r="AP121" s="159" t="n">
        <v>0</v>
      </c>
      <c r="AQ121" s="152">
        <f>MAX(0,AN121+AO121-AP121)</f>
        <v/>
      </c>
      <c r="AR121" s="152">
        <f>AU120</f>
        <v/>
      </c>
      <c r="AS121" s="159">
        <f>IF(AR121&gt;0.005,AR121*Debts!D18/12,0)</f>
        <v/>
      </c>
      <c r="AT121" s="159" t="n">
        <v>0</v>
      </c>
      <c r="AU121" s="152">
        <f>MAX(0,AR121+AS121-AT121)</f>
        <v/>
      </c>
      <c r="AV121" s="152">
        <f>AY120</f>
        <v/>
      </c>
      <c r="AW121" s="159">
        <f>IF(AV121&gt;0.005,AV121*Debts!D19/12,0)</f>
        <v/>
      </c>
      <c r="AX121" s="159" t="n">
        <v>0</v>
      </c>
      <c r="AY121" s="152">
        <f>MAX(0,AV121+AW121-AX121)</f>
        <v/>
      </c>
      <c r="AZ121" s="152">
        <f>BC120</f>
        <v/>
      </c>
      <c r="BA121" s="159">
        <f>IF(AZ121&gt;0.005,AZ121*Debts!D20/12,0)</f>
        <v/>
      </c>
      <c r="BB121" s="159" t="n">
        <v>0</v>
      </c>
      <c r="BC121" s="152">
        <f>MAX(0,AZ121+BA121-BB121)</f>
        <v/>
      </c>
      <c r="BD121" s="152">
        <f>BG120</f>
        <v/>
      </c>
      <c r="BE121" s="159">
        <f>IF(BD121&gt;0.005,BD121*Debts!D21/12,0)</f>
        <v/>
      </c>
      <c r="BF121" s="159" t="n">
        <v>0</v>
      </c>
      <c r="BG121" s="152">
        <f>MAX(0,BD121+BE121-BF121)</f>
        <v/>
      </c>
      <c r="BH121" s="152">
        <f>BK120</f>
        <v/>
      </c>
      <c r="BI121" s="159">
        <f>IF(BH121&gt;0.005,BH121*Debts!D22/12,0)</f>
        <v/>
      </c>
      <c r="BJ121" s="159" t="n">
        <v>0</v>
      </c>
      <c r="BK121" s="152">
        <f>MAX(0,BH121+BI121-BJ121)</f>
        <v/>
      </c>
      <c r="BL121" s="152">
        <f>BO120</f>
        <v/>
      </c>
      <c r="BM121" s="159">
        <f>IF(BL121&gt;0.005,BL121*Debts!D23/12,0)</f>
        <v/>
      </c>
      <c r="BN121" s="159" t="n">
        <v>0</v>
      </c>
      <c r="BO121" s="152">
        <f>MAX(0,BL121+BM121-BN121)</f>
        <v/>
      </c>
      <c r="BP121" s="152">
        <f>BS120</f>
        <v/>
      </c>
      <c r="BQ121" s="159">
        <f>IF(BP121&gt;0.005,BP121*Debts!D24/12,0)</f>
        <v/>
      </c>
      <c r="BR121" s="159" t="n">
        <v>0</v>
      </c>
      <c r="BS121" s="152">
        <f>MAX(0,BP121+BQ121-BR121)</f>
        <v/>
      </c>
      <c r="BT121" s="152">
        <f>BW120</f>
        <v/>
      </c>
      <c r="BU121" s="159">
        <f>IF(BT121&gt;0.005,BT121*Debts!D25/12,0)</f>
        <v/>
      </c>
      <c r="BV121" s="159" t="n">
        <v>0</v>
      </c>
      <c r="BW121" s="152">
        <f>MAX(0,BT121+BU121-BV121)</f>
        <v/>
      </c>
      <c r="BX121" s="152">
        <f>CA120</f>
        <v/>
      </c>
      <c r="BY121" s="159">
        <f>IF(BX121&gt;0.005,BX121*Debts!D26/12,0)</f>
        <v/>
      </c>
      <c r="BZ121" s="159" t="n">
        <v>0</v>
      </c>
      <c r="CA121" s="152">
        <f>MAX(0,BX121+BY121-BZ121)</f>
        <v/>
      </c>
      <c r="CB121" s="152">
        <f>CE120</f>
        <v/>
      </c>
      <c r="CC121" s="159">
        <f>IF(CB121&gt;0.005,CB121*Debts!D27/12,0)</f>
        <v/>
      </c>
      <c r="CD121" s="159" t="n">
        <v>0</v>
      </c>
      <c r="CE121" s="152">
        <f>MAX(0,CB121+CC121-CD121)</f>
        <v/>
      </c>
      <c r="CF121" s="152">
        <f>G121+K121+O121+S121+W121+AA121+AE121+AI121+AM121+AQ121+AU121+AY121+BC121+BG121+BK121+BO121+BS121+BW121+CA121+CE121</f>
        <v/>
      </c>
      <c r="CG121" s="159">
        <f>E121+I121+M121+Q121+U121+Y121+AC121+AG121+AK121+AO121+AS121+AW121+BA121+BE121+BI121+BM121+BQ121+BU121+BY121+CC121</f>
        <v/>
      </c>
      <c r="CH121" s="152">
        <f>CH120+CG121</f>
        <v/>
      </c>
      <c r="CI121" s="148" t="n"/>
      <c r="CJ121" s="148" t="n"/>
    </row>
    <row r="122" ht="15" customHeight="1" s="83">
      <c r="A122" s="148" t="n"/>
      <c r="B122" s="158" t="n">
        <v>118</v>
      </c>
      <c r="C122" s="152">
        <f>F122+J122+N122+R122+V122+Z122+AD122+AH122+AL122+AP122+AT122+AX122+BB122+BF122+BJ122+BN122+BR122+BV122+BZ122+CD122</f>
        <v/>
      </c>
      <c r="D122" s="152">
        <f>G121</f>
        <v/>
      </c>
      <c r="E122" s="159">
        <f>IF(D122&gt;0.005,D122*Debts!D8/12,0)</f>
        <v/>
      </c>
      <c r="F122" s="159" t="n">
        <v>0</v>
      </c>
      <c r="G122" s="152">
        <f>MAX(0,D122+E122-F122)</f>
        <v/>
      </c>
      <c r="H122" s="152">
        <f>K121</f>
        <v/>
      </c>
      <c r="I122" s="159">
        <f>IF(H122&gt;0.005,H122*Debts!D9/12,0)</f>
        <v/>
      </c>
      <c r="J122" s="159" t="n">
        <v>0</v>
      </c>
      <c r="K122" s="152">
        <f>MAX(0,H122+I122-J122)</f>
        <v/>
      </c>
      <c r="L122" s="152">
        <f>O121</f>
        <v/>
      </c>
      <c r="M122" s="159">
        <f>IF(L122&gt;0.005,L122*Debts!D10/12,0)</f>
        <v/>
      </c>
      <c r="N122" s="159" t="n">
        <v>0</v>
      </c>
      <c r="O122" s="152">
        <f>MAX(0,L122+M122-N122)</f>
        <v/>
      </c>
      <c r="P122" s="152">
        <f>S121</f>
        <v/>
      </c>
      <c r="Q122" s="159">
        <f>IF(P122&gt;0.005,P122*Debts!D11/12,0)</f>
        <v/>
      </c>
      <c r="R122" s="159" t="n">
        <v>0</v>
      </c>
      <c r="S122" s="152">
        <f>MAX(0,P122+Q122-R122)</f>
        <v/>
      </c>
      <c r="T122" s="152">
        <f>W121</f>
        <v/>
      </c>
      <c r="U122" s="159">
        <f>IF(T122&gt;0.005,T122*Debts!D12/12,0)</f>
        <v/>
      </c>
      <c r="V122" s="159" t="n">
        <v>0</v>
      </c>
      <c r="W122" s="152">
        <f>MAX(0,T122+U122-V122)</f>
        <v/>
      </c>
      <c r="X122" s="152">
        <f>AA121</f>
        <v/>
      </c>
      <c r="Y122" s="159">
        <f>IF(X122&gt;0.005,X122*Debts!D13/12,0)</f>
        <v/>
      </c>
      <c r="Z122" s="159" t="n">
        <v>0</v>
      </c>
      <c r="AA122" s="152">
        <f>MAX(0,X122+Y122-Z122)</f>
        <v/>
      </c>
      <c r="AB122" s="152">
        <f>AE121</f>
        <v/>
      </c>
      <c r="AC122" s="159">
        <f>IF(AB122&gt;0.005,AB122*Debts!D14/12,0)</f>
        <v/>
      </c>
      <c r="AD122" s="159" t="n">
        <v>0</v>
      </c>
      <c r="AE122" s="152">
        <f>MAX(0,AB122+AC122-AD122)</f>
        <v/>
      </c>
      <c r="AF122" s="152">
        <f>AI121</f>
        <v/>
      </c>
      <c r="AG122" s="159">
        <f>IF(AF122&gt;0.005,AF122*Debts!D15/12,0)</f>
        <v/>
      </c>
      <c r="AH122" s="159" t="n">
        <v>0</v>
      </c>
      <c r="AI122" s="152">
        <f>MAX(0,AF122+AG122-AH122)</f>
        <v/>
      </c>
      <c r="AJ122" s="152">
        <f>AM121</f>
        <v/>
      </c>
      <c r="AK122" s="159">
        <f>IF(AJ122&gt;0.005,AJ122*Debts!D16/12,0)</f>
        <v/>
      </c>
      <c r="AL122" s="159" t="n">
        <v>0</v>
      </c>
      <c r="AM122" s="152">
        <f>MAX(0,AJ122+AK122-AL122)</f>
        <v/>
      </c>
      <c r="AN122" s="152">
        <f>AQ121</f>
        <v/>
      </c>
      <c r="AO122" s="159">
        <f>IF(AN122&gt;0.005,AN122*Debts!D17/12,0)</f>
        <v/>
      </c>
      <c r="AP122" s="159" t="n">
        <v>0</v>
      </c>
      <c r="AQ122" s="152">
        <f>MAX(0,AN122+AO122-AP122)</f>
        <v/>
      </c>
      <c r="AR122" s="152">
        <f>AU121</f>
        <v/>
      </c>
      <c r="AS122" s="159">
        <f>IF(AR122&gt;0.005,AR122*Debts!D18/12,0)</f>
        <v/>
      </c>
      <c r="AT122" s="159" t="n">
        <v>0</v>
      </c>
      <c r="AU122" s="152">
        <f>MAX(0,AR122+AS122-AT122)</f>
        <v/>
      </c>
      <c r="AV122" s="152">
        <f>AY121</f>
        <v/>
      </c>
      <c r="AW122" s="159">
        <f>IF(AV122&gt;0.005,AV122*Debts!D19/12,0)</f>
        <v/>
      </c>
      <c r="AX122" s="159" t="n">
        <v>0</v>
      </c>
      <c r="AY122" s="152">
        <f>MAX(0,AV122+AW122-AX122)</f>
        <v/>
      </c>
      <c r="AZ122" s="152">
        <f>BC121</f>
        <v/>
      </c>
      <c r="BA122" s="159">
        <f>IF(AZ122&gt;0.005,AZ122*Debts!D20/12,0)</f>
        <v/>
      </c>
      <c r="BB122" s="159" t="n">
        <v>0</v>
      </c>
      <c r="BC122" s="152">
        <f>MAX(0,AZ122+BA122-BB122)</f>
        <v/>
      </c>
      <c r="BD122" s="152">
        <f>BG121</f>
        <v/>
      </c>
      <c r="BE122" s="159">
        <f>IF(BD122&gt;0.005,BD122*Debts!D21/12,0)</f>
        <v/>
      </c>
      <c r="BF122" s="159" t="n">
        <v>0</v>
      </c>
      <c r="BG122" s="152">
        <f>MAX(0,BD122+BE122-BF122)</f>
        <v/>
      </c>
      <c r="BH122" s="152">
        <f>BK121</f>
        <v/>
      </c>
      <c r="BI122" s="159">
        <f>IF(BH122&gt;0.005,BH122*Debts!D22/12,0)</f>
        <v/>
      </c>
      <c r="BJ122" s="159" t="n">
        <v>0</v>
      </c>
      <c r="BK122" s="152">
        <f>MAX(0,BH122+BI122-BJ122)</f>
        <v/>
      </c>
      <c r="BL122" s="152">
        <f>BO121</f>
        <v/>
      </c>
      <c r="BM122" s="159">
        <f>IF(BL122&gt;0.005,BL122*Debts!D23/12,0)</f>
        <v/>
      </c>
      <c r="BN122" s="159" t="n">
        <v>0</v>
      </c>
      <c r="BO122" s="152">
        <f>MAX(0,BL122+BM122-BN122)</f>
        <v/>
      </c>
      <c r="BP122" s="152">
        <f>BS121</f>
        <v/>
      </c>
      <c r="BQ122" s="159">
        <f>IF(BP122&gt;0.005,BP122*Debts!D24/12,0)</f>
        <v/>
      </c>
      <c r="BR122" s="159" t="n">
        <v>0</v>
      </c>
      <c r="BS122" s="152">
        <f>MAX(0,BP122+BQ122-BR122)</f>
        <v/>
      </c>
      <c r="BT122" s="152">
        <f>BW121</f>
        <v/>
      </c>
      <c r="BU122" s="159">
        <f>IF(BT122&gt;0.005,BT122*Debts!D25/12,0)</f>
        <v/>
      </c>
      <c r="BV122" s="159" t="n">
        <v>0</v>
      </c>
      <c r="BW122" s="152">
        <f>MAX(0,BT122+BU122-BV122)</f>
        <v/>
      </c>
      <c r="BX122" s="152">
        <f>CA121</f>
        <v/>
      </c>
      <c r="BY122" s="159">
        <f>IF(BX122&gt;0.005,BX122*Debts!D26/12,0)</f>
        <v/>
      </c>
      <c r="BZ122" s="159" t="n">
        <v>0</v>
      </c>
      <c r="CA122" s="152">
        <f>MAX(0,BX122+BY122-BZ122)</f>
        <v/>
      </c>
      <c r="CB122" s="152">
        <f>CE121</f>
        <v/>
      </c>
      <c r="CC122" s="159">
        <f>IF(CB122&gt;0.005,CB122*Debts!D27/12,0)</f>
        <v/>
      </c>
      <c r="CD122" s="159" t="n">
        <v>0</v>
      </c>
      <c r="CE122" s="152">
        <f>MAX(0,CB122+CC122-CD122)</f>
        <v/>
      </c>
      <c r="CF122" s="152">
        <f>G122+K122+O122+S122+W122+AA122+AE122+AI122+AM122+AQ122+AU122+AY122+BC122+BG122+BK122+BO122+BS122+BW122+CA122+CE122</f>
        <v/>
      </c>
      <c r="CG122" s="159">
        <f>E122+I122+M122+Q122+U122+Y122+AC122+AG122+AK122+AO122+AS122+AW122+BA122+BE122+BI122+BM122+BQ122+BU122+BY122+CC122</f>
        <v/>
      </c>
      <c r="CH122" s="152">
        <f>CH121+CG122</f>
        <v/>
      </c>
      <c r="CI122" s="148" t="n"/>
      <c r="CJ122" s="148" t="n"/>
    </row>
    <row r="123" ht="15" customHeight="1" s="83">
      <c r="A123" s="148" t="n"/>
      <c r="B123" s="158" t="n">
        <v>119</v>
      </c>
      <c r="C123" s="152">
        <f>F123+J123+N123+R123+V123+Z123+AD123+AH123+AL123+AP123+AT123+AX123+BB123+BF123+BJ123+BN123+BR123+BV123+BZ123+CD123</f>
        <v/>
      </c>
      <c r="D123" s="152">
        <f>G122</f>
        <v/>
      </c>
      <c r="E123" s="159">
        <f>IF(D123&gt;0.005,D123*Debts!D8/12,0)</f>
        <v/>
      </c>
      <c r="F123" s="159" t="n">
        <v>0</v>
      </c>
      <c r="G123" s="152">
        <f>MAX(0,D123+E123-F123)</f>
        <v/>
      </c>
      <c r="H123" s="152">
        <f>K122</f>
        <v/>
      </c>
      <c r="I123" s="159">
        <f>IF(H123&gt;0.005,H123*Debts!D9/12,0)</f>
        <v/>
      </c>
      <c r="J123" s="159" t="n">
        <v>0</v>
      </c>
      <c r="K123" s="152">
        <f>MAX(0,H123+I123-J123)</f>
        <v/>
      </c>
      <c r="L123" s="152">
        <f>O122</f>
        <v/>
      </c>
      <c r="M123" s="159">
        <f>IF(L123&gt;0.005,L123*Debts!D10/12,0)</f>
        <v/>
      </c>
      <c r="N123" s="159" t="n">
        <v>0</v>
      </c>
      <c r="O123" s="152">
        <f>MAX(0,L123+M123-N123)</f>
        <v/>
      </c>
      <c r="P123" s="152">
        <f>S122</f>
        <v/>
      </c>
      <c r="Q123" s="159">
        <f>IF(P123&gt;0.005,P123*Debts!D11/12,0)</f>
        <v/>
      </c>
      <c r="R123" s="159" t="n">
        <v>0</v>
      </c>
      <c r="S123" s="152">
        <f>MAX(0,P123+Q123-R123)</f>
        <v/>
      </c>
      <c r="T123" s="152">
        <f>W122</f>
        <v/>
      </c>
      <c r="U123" s="159">
        <f>IF(T123&gt;0.005,T123*Debts!D12/12,0)</f>
        <v/>
      </c>
      <c r="V123" s="159" t="n">
        <v>0</v>
      </c>
      <c r="W123" s="152">
        <f>MAX(0,T123+U123-V123)</f>
        <v/>
      </c>
      <c r="X123" s="152">
        <f>AA122</f>
        <v/>
      </c>
      <c r="Y123" s="159">
        <f>IF(X123&gt;0.005,X123*Debts!D13/12,0)</f>
        <v/>
      </c>
      <c r="Z123" s="159" t="n">
        <v>0</v>
      </c>
      <c r="AA123" s="152">
        <f>MAX(0,X123+Y123-Z123)</f>
        <v/>
      </c>
      <c r="AB123" s="152">
        <f>AE122</f>
        <v/>
      </c>
      <c r="AC123" s="159">
        <f>IF(AB123&gt;0.005,AB123*Debts!D14/12,0)</f>
        <v/>
      </c>
      <c r="AD123" s="159" t="n">
        <v>0</v>
      </c>
      <c r="AE123" s="152">
        <f>MAX(0,AB123+AC123-AD123)</f>
        <v/>
      </c>
      <c r="AF123" s="152">
        <f>AI122</f>
        <v/>
      </c>
      <c r="AG123" s="159">
        <f>IF(AF123&gt;0.005,AF123*Debts!D15/12,0)</f>
        <v/>
      </c>
      <c r="AH123" s="159" t="n">
        <v>0</v>
      </c>
      <c r="AI123" s="152">
        <f>MAX(0,AF123+AG123-AH123)</f>
        <v/>
      </c>
      <c r="AJ123" s="152">
        <f>AM122</f>
        <v/>
      </c>
      <c r="AK123" s="159">
        <f>IF(AJ123&gt;0.005,AJ123*Debts!D16/12,0)</f>
        <v/>
      </c>
      <c r="AL123" s="159" t="n">
        <v>0</v>
      </c>
      <c r="AM123" s="152">
        <f>MAX(0,AJ123+AK123-AL123)</f>
        <v/>
      </c>
      <c r="AN123" s="152">
        <f>AQ122</f>
        <v/>
      </c>
      <c r="AO123" s="159">
        <f>IF(AN123&gt;0.005,AN123*Debts!D17/12,0)</f>
        <v/>
      </c>
      <c r="AP123" s="159" t="n">
        <v>0</v>
      </c>
      <c r="AQ123" s="152">
        <f>MAX(0,AN123+AO123-AP123)</f>
        <v/>
      </c>
      <c r="AR123" s="152">
        <f>AU122</f>
        <v/>
      </c>
      <c r="AS123" s="159">
        <f>IF(AR123&gt;0.005,AR123*Debts!D18/12,0)</f>
        <v/>
      </c>
      <c r="AT123" s="159" t="n">
        <v>0</v>
      </c>
      <c r="AU123" s="152">
        <f>MAX(0,AR123+AS123-AT123)</f>
        <v/>
      </c>
      <c r="AV123" s="152">
        <f>AY122</f>
        <v/>
      </c>
      <c r="AW123" s="159">
        <f>IF(AV123&gt;0.005,AV123*Debts!D19/12,0)</f>
        <v/>
      </c>
      <c r="AX123" s="159" t="n">
        <v>0</v>
      </c>
      <c r="AY123" s="152">
        <f>MAX(0,AV123+AW123-AX123)</f>
        <v/>
      </c>
      <c r="AZ123" s="152">
        <f>BC122</f>
        <v/>
      </c>
      <c r="BA123" s="159">
        <f>IF(AZ123&gt;0.005,AZ123*Debts!D20/12,0)</f>
        <v/>
      </c>
      <c r="BB123" s="159" t="n">
        <v>0</v>
      </c>
      <c r="BC123" s="152">
        <f>MAX(0,AZ123+BA123-BB123)</f>
        <v/>
      </c>
      <c r="BD123" s="152">
        <f>BG122</f>
        <v/>
      </c>
      <c r="BE123" s="159">
        <f>IF(BD123&gt;0.005,BD123*Debts!D21/12,0)</f>
        <v/>
      </c>
      <c r="BF123" s="159" t="n">
        <v>0</v>
      </c>
      <c r="BG123" s="152">
        <f>MAX(0,BD123+BE123-BF123)</f>
        <v/>
      </c>
      <c r="BH123" s="152">
        <f>BK122</f>
        <v/>
      </c>
      <c r="BI123" s="159">
        <f>IF(BH123&gt;0.005,BH123*Debts!D22/12,0)</f>
        <v/>
      </c>
      <c r="BJ123" s="159" t="n">
        <v>0</v>
      </c>
      <c r="BK123" s="152">
        <f>MAX(0,BH123+BI123-BJ123)</f>
        <v/>
      </c>
      <c r="BL123" s="152">
        <f>BO122</f>
        <v/>
      </c>
      <c r="BM123" s="159">
        <f>IF(BL123&gt;0.005,BL123*Debts!D23/12,0)</f>
        <v/>
      </c>
      <c r="BN123" s="159" t="n">
        <v>0</v>
      </c>
      <c r="BO123" s="152">
        <f>MAX(0,BL123+BM123-BN123)</f>
        <v/>
      </c>
      <c r="BP123" s="152">
        <f>BS122</f>
        <v/>
      </c>
      <c r="BQ123" s="159">
        <f>IF(BP123&gt;0.005,BP123*Debts!D24/12,0)</f>
        <v/>
      </c>
      <c r="BR123" s="159" t="n">
        <v>0</v>
      </c>
      <c r="BS123" s="152">
        <f>MAX(0,BP123+BQ123-BR123)</f>
        <v/>
      </c>
      <c r="BT123" s="152">
        <f>BW122</f>
        <v/>
      </c>
      <c r="BU123" s="159">
        <f>IF(BT123&gt;0.005,BT123*Debts!D25/12,0)</f>
        <v/>
      </c>
      <c r="BV123" s="159" t="n">
        <v>0</v>
      </c>
      <c r="BW123" s="152">
        <f>MAX(0,BT123+BU123-BV123)</f>
        <v/>
      </c>
      <c r="BX123" s="152">
        <f>CA122</f>
        <v/>
      </c>
      <c r="BY123" s="159">
        <f>IF(BX123&gt;0.005,BX123*Debts!D26/12,0)</f>
        <v/>
      </c>
      <c r="BZ123" s="159" t="n">
        <v>0</v>
      </c>
      <c r="CA123" s="152">
        <f>MAX(0,BX123+BY123-BZ123)</f>
        <v/>
      </c>
      <c r="CB123" s="152">
        <f>CE122</f>
        <v/>
      </c>
      <c r="CC123" s="159">
        <f>IF(CB123&gt;0.005,CB123*Debts!D27/12,0)</f>
        <v/>
      </c>
      <c r="CD123" s="159" t="n">
        <v>0</v>
      </c>
      <c r="CE123" s="152">
        <f>MAX(0,CB123+CC123-CD123)</f>
        <v/>
      </c>
      <c r="CF123" s="152">
        <f>G123+K123+O123+S123+W123+AA123+AE123+AI123+AM123+AQ123+AU123+AY123+BC123+BG123+BK123+BO123+BS123+BW123+CA123+CE123</f>
        <v/>
      </c>
      <c r="CG123" s="159">
        <f>E123+I123+M123+Q123+U123+Y123+AC123+AG123+AK123+AO123+AS123+AW123+BA123+BE123+BI123+BM123+BQ123+BU123+BY123+CC123</f>
        <v/>
      </c>
      <c r="CH123" s="152">
        <f>CH122+CG123</f>
        <v/>
      </c>
      <c r="CI123" s="148" t="n"/>
      <c r="CJ123" s="148" t="n"/>
    </row>
    <row r="124" ht="15" customHeight="1" s="83">
      <c r="A124" s="148" t="n"/>
      <c r="B124" s="158" t="n">
        <v>120</v>
      </c>
      <c r="C124" s="152">
        <f>F124+J124+N124+R124+V124+Z124+AD124+AH124+AL124+AP124+AT124+AX124+BB124+BF124+BJ124+BN124+BR124+BV124+BZ124+CD124</f>
        <v/>
      </c>
      <c r="D124" s="152">
        <f>G123</f>
        <v/>
      </c>
      <c r="E124" s="159">
        <f>IF(D124&gt;0.005,D124*Debts!D8/12,0)</f>
        <v/>
      </c>
      <c r="F124" s="159" t="n">
        <v>0</v>
      </c>
      <c r="G124" s="152">
        <f>MAX(0,D124+E124-F124)</f>
        <v/>
      </c>
      <c r="H124" s="152">
        <f>K123</f>
        <v/>
      </c>
      <c r="I124" s="159">
        <f>IF(H124&gt;0.005,H124*Debts!D9/12,0)</f>
        <v/>
      </c>
      <c r="J124" s="159" t="n">
        <v>0</v>
      </c>
      <c r="K124" s="152">
        <f>MAX(0,H124+I124-J124)</f>
        <v/>
      </c>
      <c r="L124" s="152">
        <f>O123</f>
        <v/>
      </c>
      <c r="M124" s="159">
        <f>IF(L124&gt;0.005,L124*Debts!D10/12,0)</f>
        <v/>
      </c>
      <c r="N124" s="159" t="n">
        <v>0</v>
      </c>
      <c r="O124" s="152">
        <f>MAX(0,L124+M124-N124)</f>
        <v/>
      </c>
      <c r="P124" s="152">
        <f>S123</f>
        <v/>
      </c>
      <c r="Q124" s="159">
        <f>IF(P124&gt;0.005,P124*Debts!D11/12,0)</f>
        <v/>
      </c>
      <c r="R124" s="159" t="n">
        <v>0</v>
      </c>
      <c r="S124" s="152">
        <f>MAX(0,P124+Q124-R124)</f>
        <v/>
      </c>
      <c r="T124" s="152">
        <f>W123</f>
        <v/>
      </c>
      <c r="U124" s="159">
        <f>IF(T124&gt;0.005,T124*Debts!D12/12,0)</f>
        <v/>
      </c>
      <c r="V124" s="159" t="n">
        <v>0</v>
      </c>
      <c r="W124" s="152">
        <f>MAX(0,T124+U124-V124)</f>
        <v/>
      </c>
      <c r="X124" s="152">
        <f>AA123</f>
        <v/>
      </c>
      <c r="Y124" s="159">
        <f>IF(X124&gt;0.005,X124*Debts!D13/12,0)</f>
        <v/>
      </c>
      <c r="Z124" s="159" t="n">
        <v>0</v>
      </c>
      <c r="AA124" s="152">
        <f>MAX(0,X124+Y124-Z124)</f>
        <v/>
      </c>
      <c r="AB124" s="152">
        <f>AE123</f>
        <v/>
      </c>
      <c r="AC124" s="159">
        <f>IF(AB124&gt;0.005,AB124*Debts!D14/12,0)</f>
        <v/>
      </c>
      <c r="AD124" s="159" t="n">
        <v>0</v>
      </c>
      <c r="AE124" s="152">
        <f>MAX(0,AB124+AC124-AD124)</f>
        <v/>
      </c>
      <c r="AF124" s="152">
        <f>AI123</f>
        <v/>
      </c>
      <c r="AG124" s="159">
        <f>IF(AF124&gt;0.005,AF124*Debts!D15/12,0)</f>
        <v/>
      </c>
      <c r="AH124" s="159" t="n">
        <v>0</v>
      </c>
      <c r="AI124" s="152">
        <f>MAX(0,AF124+AG124-AH124)</f>
        <v/>
      </c>
      <c r="AJ124" s="152">
        <f>AM123</f>
        <v/>
      </c>
      <c r="AK124" s="159">
        <f>IF(AJ124&gt;0.005,AJ124*Debts!D16/12,0)</f>
        <v/>
      </c>
      <c r="AL124" s="159" t="n">
        <v>0</v>
      </c>
      <c r="AM124" s="152">
        <f>MAX(0,AJ124+AK124-AL124)</f>
        <v/>
      </c>
      <c r="AN124" s="152">
        <f>AQ123</f>
        <v/>
      </c>
      <c r="AO124" s="159">
        <f>IF(AN124&gt;0.005,AN124*Debts!D17/12,0)</f>
        <v/>
      </c>
      <c r="AP124" s="159" t="n">
        <v>0</v>
      </c>
      <c r="AQ124" s="152">
        <f>MAX(0,AN124+AO124-AP124)</f>
        <v/>
      </c>
      <c r="AR124" s="152">
        <f>AU123</f>
        <v/>
      </c>
      <c r="AS124" s="159">
        <f>IF(AR124&gt;0.005,AR124*Debts!D18/12,0)</f>
        <v/>
      </c>
      <c r="AT124" s="159" t="n">
        <v>0</v>
      </c>
      <c r="AU124" s="152">
        <f>MAX(0,AR124+AS124-AT124)</f>
        <v/>
      </c>
      <c r="AV124" s="152">
        <f>AY123</f>
        <v/>
      </c>
      <c r="AW124" s="159">
        <f>IF(AV124&gt;0.005,AV124*Debts!D19/12,0)</f>
        <v/>
      </c>
      <c r="AX124" s="159" t="n">
        <v>0</v>
      </c>
      <c r="AY124" s="152">
        <f>MAX(0,AV124+AW124-AX124)</f>
        <v/>
      </c>
      <c r="AZ124" s="152">
        <f>BC123</f>
        <v/>
      </c>
      <c r="BA124" s="159">
        <f>IF(AZ124&gt;0.005,AZ124*Debts!D20/12,0)</f>
        <v/>
      </c>
      <c r="BB124" s="159" t="n">
        <v>0</v>
      </c>
      <c r="BC124" s="152">
        <f>MAX(0,AZ124+BA124-BB124)</f>
        <v/>
      </c>
      <c r="BD124" s="152">
        <f>BG123</f>
        <v/>
      </c>
      <c r="BE124" s="159">
        <f>IF(BD124&gt;0.005,BD124*Debts!D21/12,0)</f>
        <v/>
      </c>
      <c r="BF124" s="159" t="n">
        <v>0</v>
      </c>
      <c r="BG124" s="152">
        <f>MAX(0,BD124+BE124-BF124)</f>
        <v/>
      </c>
      <c r="BH124" s="152">
        <f>BK123</f>
        <v/>
      </c>
      <c r="BI124" s="159">
        <f>IF(BH124&gt;0.005,BH124*Debts!D22/12,0)</f>
        <v/>
      </c>
      <c r="BJ124" s="159" t="n">
        <v>0</v>
      </c>
      <c r="BK124" s="152">
        <f>MAX(0,BH124+BI124-BJ124)</f>
        <v/>
      </c>
      <c r="BL124" s="152">
        <f>BO123</f>
        <v/>
      </c>
      <c r="BM124" s="159">
        <f>IF(BL124&gt;0.005,BL124*Debts!D23/12,0)</f>
        <v/>
      </c>
      <c r="BN124" s="159" t="n">
        <v>0</v>
      </c>
      <c r="BO124" s="152">
        <f>MAX(0,BL124+BM124-BN124)</f>
        <v/>
      </c>
      <c r="BP124" s="152">
        <f>BS123</f>
        <v/>
      </c>
      <c r="BQ124" s="159">
        <f>IF(BP124&gt;0.005,BP124*Debts!D24/12,0)</f>
        <v/>
      </c>
      <c r="BR124" s="159" t="n">
        <v>0</v>
      </c>
      <c r="BS124" s="152">
        <f>MAX(0,BP124+BQ124-BR124)</f>
        <v/>
      </c>
      <c r="BT124" s="152">
        <f>BW123</f>
        <v/>
      </c>
      <c r="BU124" s="159">
        <f>IF(BT124&gt;0.005,BT124*Debts!D25/12,0)</f>
        <v/>
      </c>
      <c r="BV124" s="159" t="n">
        <v>0</v>
      </c>
      <c r="BW124" s="152">
        <f>MAX(0,BT124+BU124-BV124)</f>
        <v/>
      </c>
      <c r="BX124" s="152">
        <f>CA123</f>
        <v/>
      </c>
      <c r="BY124" s="159">
        <f>IF(BX124&gt;0.005,BX124*Debts!D26/12,0)</f>
        <v/>
      </c>
      <c r="BZ124" s="159" t="n">
        <v>0</v>
      </c>
      <c r="CA124" s="152">
        <f>MAX(0,BX124+BY124-BZ124)</f>
        <v/>
      </c>
      <c r="CB124" s="152">
        <f>CE123</f>
        <v/>
      </c>
      <c r="CC124" s="159">
        <f>IF(CB124&gt;0.005,CB124*Debts!D27/12,0)</f>
        <v/>
      </c>
      <c r="CD124" s="159" t="n">
        <v>0</v>
      </c>
      <c r="CE124" s="152">
        <f>MAX(0,CB124+CC124-CD124)</f>
        <v/>
      </c>
      <c r="CF124" s="152">
        <f>G124+K124+O124+S124+W124+AA124+AE124+AI124+AM124+AQ124+AU124+AY124+BC124+BG124+BK124+BO124+BS124+BW124+CA124+CE124</f>
        <v/>
      </c>
      <c r="CG124" s="159">
        <f>E124+I124+M124+Q124+U124+Y124+AC124+AG124+AK124+AO124+AS124+AW124+BA124+BE124+BI124+BM124+BQ124+BU124+BY124+CC124</f>
        <v/>
      </c>
      <c r="CH124" s="152">
        <f>CH123+CG124</f>
        <v/>
      </c>
      <c r="CI124" s="148" t="n"/>
      <c r="CJ124" s="148" t="n"/>
    </row>
  </sheetData>
  <sheetProtection selectLockedCells="0" selectUnlockedCells="0" sheet="1" objects="1" insertRows="1" insertHyperlinks="1" autoFilter="0" scenarios="1" formatColumns="0" deleteColumns="1" insertColumns="1" pivotTables="1" deleteRows="1" formatCells="0" formatRows="0" sort="0"/>
  <mergeCells count="1">
    <mergeCell ref="B1:F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 filterMode="0">
    <tabColor rgb="002D8C6F"/>
    <outlinePr summaryBelow="1" summaryRight="1"/>
    <pageSetUpPr fitToPage="0"/>
  </sheetPr>
  <dimension ref="A1:D5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" customWidth="1" style="82" min="1" max="1"/>
    <col width="8" customWidth="1" style="82" min="2" max="2"/>
    <col width="65" customWidth="1" style="82" min="3" max="3"/>
    <col width="3" customWidth="1" style="82" min="4" max="4"/>
  </cols>
  <sheetData>
    <row r="1" ht="15" customHeight="1" s="83">
      <c r="A1" s="84" t="n"/>
      <c r="B1" s="84" t="n"/>
      <c r="C1" s="84" t="n"/>
      <c r="D1" s="84" t="n"/>
    </row>
    <row r="2" ht="43.5" customHeight="1" s="83">
      <c r="A2" s="84" t="n"/>
      <c r="B2" s="132" t="inlineStr">
        <is>
          <t>●  GETTING STARTED</t>
        </is>
      </c>
      <c r="C2" s="85" t="n"/>
      <c r="D2" s="84" t="n"/>
    </row>
    <row r="3" ht="15" customHeight="1" s="83">
      <c r="A3" s="84" t="n"/>
      <c r="B3" s="84" t="n"/>
      <c r="C3" s="84" t="n"/>
      <c r="D3" s="84" t="n"/>
    </row>
    <row r="4" ht="15" customHeight="1" s="83">
      <c r="A4" s="84" t="n"/>
      <c r="B4" s="84" t="n"/>
      <c r="C4" s="133" t="inlineStr">
        <is>
          <t>Set up your Debt Payoff Tracker in under 5 minutes.</t>
        </is>
      </c>
      <c r="D4" s="84" t="n"/>
    </row>
    <row r="5" ht="15" customHeight="1" s="83">
      <c r="A5" s="84" t="n"/>
      <c r="B5" s="84" t="n"/>
      <c r="C5" s="84" t="n"/>
      <c r="D5" s="84" t="n"/>
    </row>
    <row r="6" ht="17.25" customHeight="1" s="83">
      <c r="A6" s="84" t="n"/>
      <c r="B6" s="160" t="inlineStr">
        <is>
          <t>⚡</t>
        </is>
      </c>
      <c r="C6" s="127" t="inlineStr">
        <is>
          <t>━━  QUICK START  ━━</t>
        </is>
      </c>
      <c r="D6" s="84" t="n"/>
    </row>
    <row r="7" ht="15" customHeight="1" s="83">
      <c r="A7" s="84" t="n"/>
      <c r="B7" s="84" t="n"/>
      <c r="C7" s="84" t="n"/>
      <c r="D7" s="84" t="n"/>
    </row>
    <row r="8" ht="31.5" customHeight="1" s="83">
      <c r="A8" s="84" t="n"/>
      <c r="B8" s="161" t="inlineStr">
        <is>
          <t>STEP 1</t>
        </is>
      </c>
      <c r="C8" s="162" t="inlineStr">
        <is>
          <t>Open the Debts tab. Replace sample data with your real debts.</t>
        </is>
      </c>
      <c r="D8" s="84" t="n"/>
    </row>
    <row r="9" ht="15" customHeight="1" s="83">
      <c r="A9" s="84" t="n"/>
      <c r="B9" s="84" t="n"/>
      <c r="C9" s="84" t="n"/>
      <c r="D9" s="84" t="n"/>
    </row>
    <row r="10" ht="31.5" customHeight="1" s="83">
      <c r="A10" s="84" t="n"/>
      <c r="B10" s="161" t="inlineStr">
        <is>
          <t>STEP 2</t>
        </is>
      </c>
      <c r="C10" s="162" t="inlineStr">
        <is>
          <t>Go to Dashboard. Select Snowball or Avalanche from the dropdown.</t>
        </is>
      </c>
      <c r="D10" s="84" t="n"/>
    </row>
    <row r="11" ht="15" customHeight="1" s="83">
      <c r="A11" s="84" t="n"/>
      <c r="B11" s="84" t="n"/>
      <c r="C11" s="84" t="n"/>
      <c r="D11" s="84" t="n"/>
    </row>
    <row r="12" ht="31.5" customHeight="1" s="83">
      <c r="A12" s="84" t="n"/>
      <c r="B12" s="161" t="inlineStr">
        <is>
          <t>STEP 3</t>
        </is>
      </c>
      <c r="C12" s="162" t="inlineStr">
        <is>
          <t>Set your extra monthly payment — even $50/month helps.</t>
        </is>
      </c>
      <c r="D12" s="84" t="n"/>
    </row>
    <row r="13" ht="15" customHeight="1" s="83">
      <c r="A13" s="84" t="n"/>
      <c r="B13" s="84" t="n"/>
      <c r="C13" s="84" t="n"/>
      <c r="D13" s="84" t="n"/>
    </row>
    <row r="14" ht="31.5" customHeight="1" s="83">
      <c r="A14" s="84" t="n"/>
      <c r="B14" s="161" t="inlineStr">
        <is>
          <t>STEP 4</t>
        </is>
      </c>
      <c r="C14" s="162" t="inlineStr">
        <is>
          <t>Check Snowball / Avalanche tabs for month-by-month projections.</t>
        </is>
      </c>
      <c r="D14" s="84" t="n"/>
    </row>
    <row r="15" ht="15" customHeight="1" s="83">
      <c r="A15" s="84" t="n"/>
      <c r="B15" s="84" t="n"/>
      <c r="C15" s="84" t="n"/>
      <c r="D15" s="84" t="n"/>
    </row>
    <row r="16" ht="31.5" customHeight="1" s="83">
      <c r="A16" s="84" t="n"/>
      <c r="B16" s="161" t="inlineStr">
        <is>
          <t>STEP 5</t>
        </is>
      </c>
      <c r="C16" s="162" t="inlineStr">
        <is>
          <t>Use the [Available in Full Bundle] tab to track your actual progress each month.</t>
        </is>
      </c>
      <c r="D16" s="84" t="n"/>
    </row>
    <row r="17" ht="15" customHeight="1" s="83">
      <c r="A17" s="84" t="n"/>
      <c r="B17" s="84" t="n"/>
      <c r="C17" s="84" t="n"/>
      <c r="D17" s="84" t="n"/>
    </row>
    <row r="18" ht="15" customHeight="1" s="83">
      <c r="A18" s="84" t="n"/>
      <c r="B18" s="84" t="n"/>
      <c r="C18" s="84" t="n"/>
      <c r="D18" s="84" t="n"/>
    </row>
    <row r="19" ht="15" customHeight="1" s="83">
      <c r="A19" s="84" t="n"/>
      <c r="B19" s="84" t="n"/>
      <c r="C19" s="84" t="n"/>
      <c r="D19" s="84" t="n"/>
    </row>
    <row r="20" ht="17.25" customHeight="1" s="83">
      <c r="A20" s="84" t="n"/>
      <c r="B20" s="160" t="inlineStr">
        <is>
          <t>💡</t>
        </is>
      </c>
      <c r="C20" s="127" t="inlineStr">
        <is>
          <t>━━  PRO TIPS  ━━</t>
        </is>
      </c>
      <c r="D20" s="84" t="n"/>
    </row>
    <row r="21" ht="15" customHeight="1" s="83">
      <c r="A21" s="84" t="n"/>
      <c r="B21" s="84" t="n"/>
      <c r="C21" s="84" t="n"/>
      <c r="D21" s="84" t="n"/>
    </row>
    <row r="22" ht="27.75" customHeight="1" s="83">
      <c r="A22" s="84" t="n"/>
      <c r="B22" s="163" t="inlineStr">
        <is>
          <t>●</t>
        </is>
      </c>
      <c r="C22" s="164" t="inlineStr">
        <is>
          <t>Snowball = smallest balance first. Faster wins. Best for motivation.</t>
        </is>
      </c>
      <c r="D22" s="84" t="n"/>
    </row>
    <row r="23" ht="27.75" customHeight="1" s="83">
      <c r="A23" s="84" t="n"/>
      <c r="B23" s="165" t="inlineStr">
        <is>
          <t>●</t>
        </is>
      </c>
      <c r="C23" s="166" t="inlineStr">
        <is>
          <t>Avalanche = highest interest first. Saves the most money overall.</t>
        </is>
      </c>
      <c r="D23" s="84" t="n"/>
    </row>
    <row r="24" ht="27.75" customHeight="1" s="83">
      <c r="A24" s="84" t="n"/>
      <c r="B24" s="163" t="inlineStr">
        <is>
          <t>●</t>
        </is>
      </c>
      <c r="C24" s="164" t="inlineStr">
        <is>
          <t>Log windfalls in the [Available in Full Bundle] tab — they accelerate everything.</t>
        </is>
      </c>
      <c r="D24" s="84" t="n"/>
    </row>
    <row r="25" ht="27.75" customHeight="1" s="83">
      <c r="A25" s="84" t="n"/>
      <c r="B25" s="165" t="inlineStr">
        <is>
          <t>●</t>
        </is>
      </c>
      <c r="C25" s="166" t="inlineStr">
        <is>
          <t>The [Available in Full Bundle] tab is your accountability tool. Fill it in monthly!</t>
        </is>
      </c>
      <c r="D25" s="84" t="n"/>
    </row>
    <row r="26" ht="27.75" customHeight="1" s="83">
      <c r="A26" s="84" t="n"/>
      <c r="B26" s="163" t="inlineStr">
        <is>
          <t>●</t>
        </is>
      </c>
      <c r="C26" s="164" t="inlineStr">
        <is>
          <t>Screenshot your Milestone Badges and share your progress.</t>
        </is>
      </c>
      <c r="D26" s="84" t="n"/>
    </row>
    <row r="27" ht="15" customHeight="1" s="83">
      <c r="A27" s="84" t="n"/>
      <c r="B27" s="84" t="n"/>
      <c r="C27" s="84" t="n"/>
      <c r="D27" s="84" t="n"/>
    </row>
    <row r="28" ht="15" customHeight="1" s="83">
      <c r="A28" s="84" t="n"/>
      <c r="B28" s="84" t="n"/>
      <c r="C28" s="84" t="n"/>
      <c r="D28" s="84" t="n"/>
    </row>
    <row r="29" ht="15" customHeight="1" s="83">
      <c r="A29" s="84" t="n"/>
      <c r="B29" s="84" t="n"/>
      <c r="C29" s="84" t="n"/>
      <c r="D29" s="84" t="n"/>
    </row>
    <row r="30" ht="15" customHeight="1" s="83">
      <c r="A30" s="84" t="n"/>
      <c r="B30" s="85" t="n"/>
      <c r="C30" s="167" t="inlineStr">
        <is>
          <t>StackedSheets  ·  stackedsheets.etsy.com</t>
        </is>
      </c>
      <c r="D30" s="84" t="n"/>
    </row>
    <row r="31" ht="15" customHeight="1" s="83">
      <c r="A31" s="84" t="n"/>
      <c r="B31" s="84" t="n"/>
      <c r="C31" s="84" t="n"/>
      <c r="D31" s="84" t="n"/>
    </row>
    <row r="32" ht="15" customHeight="1" s="83">
      <c r="A32" s="84" t="n"/>
      <c r="B32" s="84" t="n"/>
      <c r="C32" s="84" t="n"/>
      <c r="D32" s="84" t="n"/>
    </row>
    <row r="33" ht="15" customHeight="1" s="83">
      <c r="A33" s="84" t="n"/>
      <c r="B33" s="84" t="n"/>
      <c r="C33" s="84" t="n"/>
      <c r="D33" s="84" t="n"/>
    </row>
    <row r="34" ht="15" customHeight="1" s="83">
      <c r="A34" s="84" t="n"/>
      <c r="B34" s="84" t="n"/>
      <c r="C34" s="84" t="n"/>
      <c r="D34" s="84" t="n"/>
    </row>
    <row r="35" ht="15" customHeight="1" s="83">
      <c r="A35" s="84" t="n"/>
      <c r="B35" s="84" t="n"/>
      <c r="C35" s="84" t="n"/>
      <c r="D35" s="84" t="n"/>
    </row>
    <row r="36" ht="15" customHeight="1" s="83">
      <c r="A36" s="84" t="n"/>
      <c r="B36" s="84" t="n"/>
      <c r="C36" s="84" t="n"/>
      <c r="D36" s="84" t="n"/>
    </row>
    <row r="37" ht="15" customHeight="1" s="83">
      <c r="A37" s="84" t="n"/>
      <c r="B37" s="84" t="n"/>
      <c r="C37" s="84" t="n"/>
      <c r="D37" s="84" t="n"/>
    </row>
    <row r="38" ht="15" customHeight="1" s="83">
      <c r="A38" s="84" t="n"/>
      <c r="B38" s="84" t="n"/>
      <c r="C38" s="84" t="n"/>
      <c r="D38" s="84" t="n"/>
    </row>
    <row r="39" ht="15" customHeight="1" s="83">
      <c r="A39" s="84" t="n"/>
      <c r="B39" s="84" t="n"/>
      <c r="C39" s="84" t="n"/>
      <c r="D39" s="84" t="n"/>
    </row>
    <row r="40" ht="15" customHeight="1" s="83">
      <c r="A40" s="84" t="n"/>
      <c r="B40" s="84" t="n"/>
      <c r="C40" s="84" t="n"/>
      <c r="D40" s="84" t="n"/>
    </row>
    <row r="41" ht="15" customHeight="1" s="83">
      <c r="A41" s="84" t="n"/>
      <c r="B41" s="84" t="n"/>
      <c r="C41" s="84" t="n"/>
      <c r="D41" s="84" t="n"/>
    </row>
    <row r="42" ht="15" customHeight="1" s="83">
      <c r="A42" s="84" t="n"/>
      <c r="B42" s="84" t="n"/>
      <c r="C42" s="84" t="n"/>
      <c r="D42" s="84" t="n"/>
    </row>
    <row r="43" ht="15" customHeight="1" s="83">
      <c r="A43" s="84" t="n"/>
      <c r="B43" s="84" t="n"/>
      <c r="C43" s="84" t="n"/>
      <c r="D43" s="84" t="n"/>
    </row>
    <row r="44" ht="15" customHeight="1" s="83">
      <c r="A44" s="84" t="n"/>
      <c r="B44" s="84" t="n"/>
      <c r="C44" s="84" t="n"/>
      <c r="D44" s="84" t="n"/>
    </row>
    <row r="45" ht="15" customHeight="1" s="83">
      <c r="A45" s="84" t="n"/>
      <c r="B45" s="84" t="n"/>
      <c r="C45" s="84" t="n"/>
      <c r="D45" s="84" t="n"/>
    </row>
    <row r="46" ht="15" customHeight="1" s="83">
      <c r="A46" s="84" t="n"/>
      <c r="B46" s="84" t="n"/>
      <c r="C46" s="84" t="n"/>
      <c r="D46" s="84" t="n"/>
    </row>
    <row r="47" ht="15" customHeight="1" s="83">
      <c r="A47" s="84" t="n"/>
      <c r="B47" s="84" t="n"/>
      <c r="C47" s="84" t="n"/>
      <c r="D47" s="84" t="n"/>
    </row>
    <row r="48" ht="15" customHeight="1" s="83">
      <c r="A48" s="84" t="n"/>
      <c r="B48" s="84" t="n"/>
      <c r="C48" s="84" t="n"/>
      <c r="D48" s="84" t="n"/>
    </row>
    <row r="49" ht="15" customHeight="1" s="83">
      <c r="A49" s="84" t="n"/>
      <c r="B49" s="84" t="n"/>
      <c r="C49" s="84" t="n"/>
      <c r="D49" s="84" t="n"/>
    </row>
    <row r="50" ht="15" customHeight="1" s="83">
      <c r="A50" s="84" t="n"/>
      <c r="B50" s="84" t="n"/>
      <c r="C50" s="84" t="n"/>
      <c r="D50" s="84" t="n"/>
    </row>
  </sheetData>
  <sheetProtection selectLockedCells="0" selectUnlockedCells="0" sheet="1" objects="1" insertRows="1" insertHyperlinks="1" autoFilter="0" scenarios="1" formatColumns="0" deleteColumns="1" insertColumns="1" pivotTables="1" deleteRows="1" formatCells="0" formatRows="0" sort="0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2026-02-20T16:27:20Z</dcterms:created>
  <dcterms:modified xsi:type="dcterms:W3CDTF">2026-02-21T02:29:50Z</dcterms:modified>
  <cp:revision>8</cp:revision>
</cp:coreProperties>
</file>